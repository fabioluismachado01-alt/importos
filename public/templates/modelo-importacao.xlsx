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o\Documents\"/>
    </mc:Choice>
  </mc:AlternateContent>
  <xr:revisionPtr revIDLastSave="0" documentId="13_ncr:1_{5D7FAB21-0F6E-4CDE-9197-6882895BF41D}" xr6:coauthVersionLast="47" xr6:coauthVersionMax="47" xr10:uidLastSave="{00000000-0000-0000-0000-000000000000}"/>
  <bookViews>
    <workbookView xWindow="20370" yWindow="-2175" windowWidth="38640" windowHeight="15720" firstSheet="3" activeTab="13" xr2:uid="{00000000-000D-0000-FFFF-FFFF00000000}"/>
  </bookViews>
  <sheets>
    <sheet name="Demonstrativo" sheetId="16" r:id="rId1"/>
    <sheet name="Faturamentos" sheetId="2" r:id="rId2"/>
    <sheet name="Janeiro.2026" sheetId="3" r:id="rId3"/>
    <sheet name="Fevereiro 2026" sheetId="4" r:id="rId4"/>
    <sheet name="Março 2026" sheetId="14" r:id="rId5"/>
    <sheet name="Abril 2026" sheetId="13" r:id="rId6"/>
    <sheet name="Maio 2026" sheetId="12" r:id="rId7"/>
    <sheet name="Junho 2026" sheetId="11" r:id="rId8"/>
    <sheet name="Julho 2026" sheetId="10" r:id="rId9"/>
    <sheet name="Agosto 2026" sheetId="9" r:id="rId10"/>
    <sheet name="Setembro 2026" sheetId="7" r:id="rId11"/>
    <sheet name="Outubro 2026" sheetId="8" r:id="rId12"/>
    <sheet name="Novembro 2026" sheetId="6" r:id="rId13"/>
    <sheet name="Dezembro 2026" sheetId="5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11" i="3" l="1"/>
  <c r="E8" i="2"/>
  <c r="F8" i="2" s="1"/>
  <c r="F15" i="2"/>
  <c r="F16" i="2"/>
  <c r="F14" i="2"/>
  <c r="F13" i="2"/>
  <c r="F12" i="2"/>
  <c r="F11" i="2"/>
  <c r="F10" i="2"/>
  <c r="F9" i="2"/>
  <c r="M21" i="16" l="1"/>
  <c r="L21" i="16"/>
  <c r="K21" i="16"/>
  <c r="J21" i="16"/>
  <c r="I21" i="16"/>
  <c r="H21" i="16"/>
  <c r="G21" i="16"/>
  <c r="F21" i="16"/>
  <c r="E21" i="16"/>
  <c r="D21" i="16"/>
  <c r="C21" i="16"/>
  <c r="M12" i="16"/>
  <c r="L12" i="16"/>
  <c r="K12" i="16"/>
  <c r="J12" i="16"/>
  <c r="I12" i="16"/>
  <c r="H12" i="16"/>
  <c r="G12" i="16"/>
  <c r="F12" i="16"/>
  <c r="E12" i="16"/>
  <c r="X11" i="5"/>
  <c r="X11" i="6"/>
  <c r="X11" i="8"/>
  <c r="X11" i="7"/>
  <c r="X11" i="9"/>
  <c r="X11" i="10"/>
  <c r="X11" i="11"/>
  <c r="X11" i="12"/>
  <c r="X11" i="13"/>
  <c r="C12" i="16"/>
  <c r="B12" i="16"/>
  <c r="X10" i="3"/>
  <c r="X11" i="4"/>
  <c r="U5" i="14"/>
  <c r="U4" i="14"/>
  <c r="X11" i="14"/>
  <c r="D12" i="16" s="1"/>
  <c r="B39" i="16" s="1"/>
  <c r="Y21" i="14"/>
  <c r="Y18" i="3"/>
  <c r="Y4" i="3"/>
  <c r="X6" i="3"/>
  <c r="Y7" i="3"/>
  <c r="X12" i="3"/>
  <c r="Y12" i="3" s="1"/>
  <c r="X13" i="3"/>
  <c r="Y13" i="3" s="1"/>
  <c r="Y14" i="3"/>
  <c r="Y15" i="3"/>
  <c r="Y16" i="3"/>
  <c r="Y17" i="3"/>
  <c r="Y20" i="3"/>
  <c r="Y6" i="3" l="1"/>
  <c r="B21" i="16" l="1"/>
  <c r="S7" i="14" l="1"/>
  <c r="S8" i="14"/>
  <c r="S9" i="14"/>
  <c r="S10" i="14"/>
  <c r="S11" i="14"/>
  <c r="S12" i="14"/>
  <c r="S13" i="14"/>
  <c r="S14" i="14"/>
  <c r="S15" i="14"/>
  <c r="S16" i="14"/>
  <c r="S17" i="14"/>
  <c r="S18" i="14"/>
  <c r="S19" i="14"/>
  <c r="S20" i="14"/>
  <c r="S21" i="14"/>
  <c r="S22" i="14"/>
  <c r="S23" i="14"/>
  <c r="S24" i="14"/>
  <c r="S25" i="14"/>
  <c r="S26" i="14"/>
  <c r="S27" i="14"/>
  <c r="S28" i="14"/>
  <c r="S29" i="14"/>
  <c r="S30" i="14"/>
  <c r="S31" i="14"/>
  <c r="S32" i="14"/>
  <c r="S33" i="14"/>
  <c r="S34" i="14"/>
  <c r="S6" i="14"/>
  <c r="Q7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28" i="14"/>
  <c r="Q29" i="14"/>
  <c r="Q30" i="14"/>
  <c r="Q31" i="14"/>
  <c r="Q32" i="14"/>
  <c r="Q33" i="14"/>
  <c r="Q34" i="14"/>
  <c r="Q6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6" i="14"/>
  <c r="O7" i="14"/>
  <c r="O31" i="14"/>
  <c r="Y22" i="5"/>
  <c r="Y27" i="5" s="1"/>
  <c r="Y21" i="5"/>
  <c r="X14" i="5"/>
  <c r="X10" i="5"/>
  <c r="X9" i="5"/>
  <c r="X8" i="5"/>
  <c r="X6" i="5"/>
  <c r="X5" i="5"/>
  <c r="X3" i="5"/>
  <c r="Y22" i="6"/>
  <c r="Y28" i="6" s="1"/>
  <c r="Y21" i="6"/>
  <c r="X14" i="6"/>
  <c r="X10" i="6"/>
  <c r="X9" i="6"/>
  <c r="X8" i="6"/>
  <c r="X6" i="6"/>
  <c r="X5" i="6"/>
  <c r="X3" i="6"/>
  <c r="Y22" i="8"/>
  <c r="Y27" i="8" s="1"/>
  <c r="Y21" i="8"/>
  <c r="X14" i="8"/>
  <c r="X10" i="8"/>
  <c r="X9" i="8"/>
  <c r="X8" i="8"/>
  <c r="X6" i="8"/>
  <c r="X5" i="8"/>
  <c r="X3" i="8"/>
  <c r="X12" i="8" s="1"/>
  <c r="Y22" i="7"/>
  <c r="Y27" i="7" s="1"/>
  <c r="Y21" i="7"/>
  <c r="X14" i="7"/>
  <c r="X10" i="7"/>
  <c r="X9" i="7"/>
  <c r="X8" i="7"/>
  <c r="X6" i="7"/>
  <c r="X5" i="7"/>
  <c r="X3" i="7"/>
  <c r="X12" i="7" s="1"/>
  <c r="Y22" i="9"/>
  <c r="Y27" i="9" s="1"/>
  <c r="Y21" i="9"/>
  <c r="X14" i="9"/>
  <c r="X10" i="9"/>
  <c r="X9" i="9"/>
  <c r="X8" i="9"/>
  <c r="X6" i="9"/>
  <c r="X5" i="9"/>
  <c r="X3" i="9"/>
  <c r="X12" i="9" s="1"/>
  <c r="Y22" i="10"/>
  <c r="Y28" i="10" s="1"/>
  <c r="Y21" i="10"/>
  <c r="X14" i="10"/>
  <c r="X10" i="10"/>
  <c r="X9" i="10"/>
  <c r="X8" i="10"/>
  <c r="X6" i="10"/>
  <c r="X5" i="10"/>
  <c r="X3" i="10"/>
  <c r="Y22" i="11"/>
  <c r="Y28" i="11" s="1"/>
  <c r="Y21" i="11"/>
  <c r="X14" i="11"/>
  <c r="X10" i="11"/>
  <c r="X9" i="11"/>
  <c r="X8" i="11"/>
  <c r="X6" i="11"/>
  <c r="X5" i="11"/>
  <c r="X3" i="11"/>
  <c r="Y22" i="12"/>
  <c r="Y28" i="12" s="1"/>
  <c r="Y21" i="12"/>
  <c r="X14" i="12"/>
  <c r="X10" i="12"/>
  <c r="X9" i="12"/>
  <c r="X8" i="12"/>
  <c r="X6" i="12"/>
  <c r="AA4" i="12" s="1"/>
  <c r="X5" i="12"/>
  <c r="X3" i="12"/>
  <c r="X12" i="12" s="1"/>
  <c r="Y22" i="13"/>
  <c r="Y27" i="13" s="1"/>
  <c r="Y21" i="13"/>
  <c r="X14" i="13"/>
  <c r="X10" i="13"/>
  <c r="X9" i="13"/>
  <c r="X8" i="13"/>
  <c r="X6" i="13"/>
  <c r="X5" i="13"/>
  <c r="X3" i="13"/>
  <c r="X12" i="13" s="1"/>
  <c r="O8" i="14"/>
  <c r="X14" i="14"/>
  <c r="X10" i="14"/>
  <c r="X9" i="14"/>
  <c r="X8" i="14"/>
  <c r="X6" i="14"/>
  <c r="X5" i="14"/>
  <c r="O12" i="4"/>
  <c r="O5" i="4"/>
  <c r="Y20" i="4"/>
  <c r="Y17" i="4"/>
  <c r="Y16" i="4"/>
  <c r="Y15" i="4"/>
  <c r="Y13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4" i="4"/>
  <c r="P33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4" i="4"/>
  <c r="O8" i="4"/>
  <c r="O9" i="4"/>
  <c r="O10" i="4"/>
  <c r="O11" i="4"/>
  <c r="O18" i="4"/>
  <c r="O19" i="4"/>
  <c r="O20" i="4"/>
  <c r="O23" i="4"/>
  <c r="O28" i="4"/>
  <c r="O31" i="4"/>
  <c r="O32" i="4"/>
  <c r="O33" i="4"/>
  <c r="AA4" i="5" l="1"/>
  <c r="Y28" i="5"/>
  <c r="X24" i="5"/>
  <c r="X24" i="6"/>
  <c r="X24" i="8"/>
  <c r="Y28" i="8"/>
  <c r="X21" i="8"/>
  <c r="X24" i="7"/>
  <c r="Y28" i="7"/>
  <c r="X21" i="7"/>
  <c r="X24" i="9"/>
  <c r="Y28" i="9"/>
  <c r="X24" i="10"/>
  <c r="X12" i="10"/>
  <c r="X21" i="10" s="1"/>
  <c r="Y27" i="11"/>
  <c r="X24" i="11"/>
  <c r="AA4" i="13"/>
  <c r="Y28" i="13"/>
  <c r="O27" i="4"/>
  <c r="O17" i="4"/>
  <c r="O26" i="4"/>
  <c r="O16" i="4"/>
  <c r="O25" i="4"/>
  <c r="O15" i="4"/>
  <c r="O4" i="4"/>
  <c r="O24" i="4"/>
  <c r="Y18" i="4"/>
  <c r="O30" i="14"/>
  <c r="O23" i="14"/>
  <c r="O22" i="14"/>
  <c r="O15" i="14"/>
  <c r="O14" i="14"/>
  <c r="O29" i="14"/>
  <c r="O21" i="14"/>
  <c r="O13" i="14"/>
  <c r="O28" i="14"/>
  <c r="O20" i="14"/>
  <c r="O12" i="14"/>
  <c r="O6" i="14"/>
  <c r="O27" i="14"/>
  <c r="O19" i="14"/>
  <c r="O11" i="14"/>
  <c r="O34" i="14"/>
  <c r="O26" i="14"/>
  <c r="O18" i="14"/>
  <c r="O10" i="14"/>
  <c r="O33" i="14"/>
  <c r="O25" i="14"/>
  <c r="O17" i="14"/>
  <c r="O9" i="14"/>
  <c r="O32" i="14"/>
  <c r="O24" i="14"/>
  <c r="O16" i="14"/>
  <c r="X24" i="14"/>
  <c r="X12" i="5"/>
  <c r="X21" i="5" s="1"/>
  <c r="AA4" i="6"/>
  <c r="X12" i="6"/>
  <c r="X21" i="6" s="1"/>
  <c r="Y27" i="6"/>
  <c r="AA4" i="8"/>
  <c r="AA4" i="7"/>
  <c r="AA4" i="9"/>
  <c r="X21" i="9"/>
  <c r="AA4" i="10"/>
  <c r="Y27" i="10"/>
  <c r="AA4" i="11"/>
  <c r="X12" i="11"/>
  <c r="X21" i="11" s="1"/>
  <c r="X21" i="12"/>
  <c r="X24" i="12"/>
  <c r="Y27" i="12"/>
  <c r="X24" i="13"/>
  <c r="X21" i="13"/>
  <c r="Y22" i="14"/>
  <c r="O7" i="4"/>
  <c r="O30" i="4"/>
  <c r="O22" i="4"/>
  <c r="O14" i="4"/>
  <c r="O6" i="4"/>
  <c r="O29" i="4"/>
  <c r="O21" i="4"/>
  <c r="O13" i="4"/>
  <c r="X19" i="5" l="1"/>
  <c r="M22" i="16"/>
  <c r="X19" i="6"/>
  <c r="L22" i="16"/>
  <c r="X19" i="8"/>
  <c r="X22" i="8" s="1"/>
  <c r="K22" i="16"/>
  <c r="X19" i="7"/>
  <c r="X22" i="7" s="1"/>
  <c r="J22" i="16"/>
  <c r="X19" i="9"/>
  <c r="AB6" i="9" s="1"/>
  <c r="I22" i="16"/>
  <c r="X19" i="10"/>
  <c r="H22" i="16"/>
  <c r="X19" i="11"/>
  <c r="X22" i="11" s="1"/>
  <c r="G22" i="16"/>
  <c r="X19" i="12"/>
  <c r="F22" i="16"/>
  <c r="X19" i="13"/>
  <c r="E20" i="16" s="1"/>
  <c r="E22" i="16"/>
  <c r="AB6" i="5"/>
  <c r="M20" i="16"/>
  <c r="AB6" i="6"/>
  <c r="L20" i="16"/>
  <c r="AB6" i="8"/>
  <c r="K20" i="16"/>
  <c r="AB6" i="7"/>
  <c r="J20" i="16"/>
  <c r="I20" i="16"/>
  <c r="AB6" i="10"/>
  <c r="H20" i="16"/>
  <c r="X22" i="10"/>
  <c r="X28" i="10" s="1"/>
  <c r="H32" i="16" s="1"/>
  <c r="AB6" i="12"/>
  <c r="F20" i="16"/>
  <c r="X22" i="5"/>
  <c r="X22" i="6"/>
  <c r="X28" i="8"/>
  <c r="K32" i="16" s="1"/>
  <c r="X27" i="8"/>
  <c r="K31" i="16" s="1"/>
  <c r="X28" i="7"/>
  <c r="J32" i="16" s="1"/>
  <c r="X27" i="7"/>
  <c r="J31" i="16" s="1"/>
  <c r="X22" i="12"/>
  <c r="AB6" i="13"/>
  <c r="X22" i="13"/>
  <c r="Y28" i="14"/>
  <c r="Y27" i="14"/>
  <c r="X22" i="9" l="1"/>
  <c r="X27" i="9" s="1"/>
  <c r="I31" i="16" s="1"/>
  <c r="AB6" i="11"/>
  <c r="G20" i="16"/>
  <c r="X28" i="9"/>
  <c r="I32" i="16" s="1"/>
  <c r="X27" i="10"/>
  <c r="H31" i="16" s="1"/>
  <c r="X27" i="5"/>
  <c r="M31" i="16" s="1"/>
  <c r="X28" i="5"/>
  <c r="M32" i="16" s="1"/>
  <c r="X28" i="6"/>
  <c r="L32" i="16" s="1"/>
  <c r="X27" i="6"/>
  <c r="L31" i="16" s="1"/>
  <c r="X27" i="11"/>
  <c r="G31" i="16" s="1"/>
  <c r="X28" i="11"/>
  <c r="G32" i="16" s="1"/>
  <c r="X28" i="12"/>
  <c r="F32" i="16" s="1"/>
  <c r="X27" i="12"/>
  <c r="F31" i="16" s="1"/>
  <c r="X28" i="13"/>
  <c r="E32" i="16" s="1"/>
  <c r="X27" i="13"/>
  <c r="E31" i="16" s="1"/>
  <c r="S34" i="3"/>
  <c r="R34" i="3"/>
  <c r="Q34" i="3"/>
  <c r="P34" i="3"/>
  <c r="O34" i="3"/>
  <c r="S33" i="3"/>
  <c r="R33" i="3"/>
  <c r="Q33" i="3"/>
  <c r="P33" i="3"/>
  <c r="O33" i="3"/>
  <c r="S32" i="3"/>
  <c r="R32" i="3"/>
  <c r="Q32" i="3"/>
  <c r="P32" i="3"/>
  <c r="O32" i="3"/>
  <c r="S31" i="3"/>
  <c r="R31" i="3"/>
  <c r="Q31" i="3"/>
  <c r="P31" i="3"/>
  <c r="O31" i="3"/>
  <c r="S30" i="3"/>
  <c r="R30" i="3"/>
  <c r="Q30" i="3"/>
  <c r="P30" i="3"/>
  <c r="O30" i="3"/>
  <c r="S29" i="3"/>
  <c r="R29" i="3"/>
  <c r="Q29" i="3"/>
  <c r="P29" i="3"/>
  <c r="O29" i="3"/>
  <c r="S28" i="3"/>
  <c r="R28" i="3"/>
  <c r="Q28" i="3"/>
  <c r="P28" i="3"/>
  <c r="O28" i="3"/>
  <c r="S27" i="3"/>
  <c r="R27" i="3"/>
  <c r="Q27" i="3"/>
  <c r="P27" i="3"/>
  <c r="O27" i="3"/>
  <c r="S26" i="3"/>
  <c r="R26" i="3"/>
  <c r="Q26" i="3"/>
  <c r="P26" i="3"/>
  <c r="O26" i="3"/>
  <c r="S25" i="3"/>
  <c r="R25" i="3"/>
  <c r="Q25" i="3"/>
  <c r="P25" i="3"/>
  <c r="O25" i="3"/>
  <c r="S24" i="3"/>
  <c r="R24" i="3"/>
  <c r="Q24" i="3"/>
  <c r="P24" i="3"/>
  <c r="O24" i="3"/>
  <c r="S23" i="3"/>
  <c r="R23" i="3"/>
  <c r="Q23" i="3"/>
  <c r="P23" i="3"/>
  <c r="O23" i="3"/>
  <c r="S22" i="3"/>
  <c r="R22" i="3"/>
  <c r="Q22" i="3"/>
  <c r="P22" i="3"/>
  <c r="O22" i="3"/>
  <c r="S21" i="3"/>
  <c r="R21" i="3"/>
  <c r="Q21" i="3"/>
  <c r="P21" i="3"/>
  <c r="O21" i="3"/>
  <c r="S20" i="3"/>
  <c r="R20" i="3"/>
  <c r="Q20" i="3"/>
  <c r="P20" i="3"/>
  <c r="O20" i="3"/>
  <c r="S19" i="3"/>
  <c r="R19" i="3"/>
  <c r="Q19" i="3"/>
  <c r="P19" i="3"/>
  <c r="O19" i="3"/>
  <c r="S18" i="3"/>
  <c r="R18" i="3"/>
  <c r="Q18" i="3"/>
  <c r="P18" i="3"/>
  <c r="O18" i="3"/>
  <c r="S17" i="3"/>
  <c r="R17" i="3"/>
  <c r="Q17" i="3"/>
  <c r="P17" i="3"/>
  <c r="O17" i="3"/>
  <c r="S16" i="3"/>
  <c r="R16" i="3"/>
  <c r="Q16" i="3"/>
  <c r="P16" i="3"/>
  <c r="O16" i="3"/>
  <c r="S15" i="3"/>
  <c r="R15" i="3"/>
  <c r="Q15" i="3"/>
  <c r="P15" i="3"/>
  <c r="O15" i="3"/>
  <c r="S14" i="3"/>
  <c r="R14" i="3"/>
  <c r="Q14" i="3"/>
  <c r="P14" i="3"/>
  <c r="O14" i="3"/>
  <c r="S13" i="3"/>
  <c r="R13" i="3"/>
  <c r="Q13" i="3"/>
  <c r="P13" i="3"/>
  <c r="O13" i="3"/>
  <c r="S12" i="3"/>
  <c r="R12" i="3"/>
  <c r="Q12" i="3"/>
  <c r="P12" i="3"/>
  <c r="O12" i="3"/>
  <c r="S11" i="3"/>
  <c r="R11" i="3"/>
  <c r="Q11" i="3"/>
  <c r="P11" i="3"/>
  <c r="O11" i="3"/>
  <c r="S10" i="3"/>
  <c r="R10" i="3"/>
  <c r="Q10" i="3"/>
  <c r="P10" i="3"/>
  <c r="O10" i="3"/>
  <c r="S9" i="3"/>
  <c r="R9" i="3"/>
  <c r="Q9" i="3"/>
  <c r="P9" i="3"/>
  <c r="O9" i="3"/>
  <c r="S8" i="3"/>
  <c r="R8" i="3"/>
  <c r="Q8" i="3"/>
  <c r="P8" i="3"/>
  <c r="O8" i="3"/>
  <c r="S7" i="3"/>
  <c r="R7" i="3"/>
  <c r="Q7" i="3"/>
  <c r="P7" i="3"/>
  <c r="O7" i="3"/>
  <c r="S6" i="3"/>
  <c r="R6" i="3"/>
  <c r="Q6" i="3"/>
  <c r="P6" i="3"/>
  <c r="O6" i="3"/>
  <c r="S5" i="3"/>
  <c r="R5" i="3"/>
  <c r="Q5" i="3"/>
  <c r="P5" i="3"/>
  <c r="O5" i="3"/>
  <c r="S4" i="3"/>
  <c r="R4" i="3"/>
  <c r="Q4" i="3"/>
  <c r="P4" i="3"/>
  <c r="O4" i="3"/>
  <c r="X5" i="3"/>
  <c r="Y5" i="3" l="1"/>
  <c r="Y24" i="3" s="1"/>
  <c r="X24" i="3"/>
  <c r="X8" i="3"/>
  <c r="Y8" i="3" s="1"/>
  <c r="X9" i="3"/>
  <c r="Y9" i="3" s="1"/>
  <c r="D19" i="2"/>
  <c r="C19" i="2"/>
  <c r="B19" i="2"/>
  <c r="M14" i="16"/>
  <c r="L11" i="16"/>
  <c r="L10" i="16"/>
  <c r="K8" i="16"/>
  <c r="K7" i="16"/>
  <c r="J16" i="16"/>
  <c r="I14" i="16"/>
  <c r="I10" i="16"/>
  <c r="H14" i="16"/>
  <c r="H7" i="16"/>
  <c r="G14" i="16"/>
  <c r="G11" i="16"/>
  <c r="F14" i="16"/>
  <c r="E14" i="16"/>
  <c r="E11" i="16"/>
  <c r="E10" i="16"/>
  <c r="E7" i="16"/>
  <c r="D14" i="16"/>
  <c r="D11" i="16"/>
  <c r="D6" i="16"/>
  <c r="D8" i="16"/>
  <c r="X14" i="4"/>
  <c r="X8" i="4"/>
  <c r="X6" i="4"/>
  <c r="X5" i="4"/>
  <c r="C15" i="16"/>
  <c r="S34" i="5"/>
  <c r="R34" i="5"/>
  <c r="Q34" i="5"/>
  <c r="P34" i="5"/>
  <c r="O34" i="5"/>
  <c r="S33" i="5"/>
  <c r="R33" i="5"/>
  <c r="Q33" i="5"/>
  <c r="P33" i="5"/>
  <c r="O33" i="5"/>
  <c r="S32" i="5"/>
  <c r="R32" i="5"/>
  <c r="Q32" i="5"/>
  <c r="P32" i="5"/>
  <c r="O32" i="5"/>
  <c r="S31" i="5"/>
  <c r="R31" i="5"/>
  <c r="Q31" i="5"/>
  <c r="P31" i="5"/>
  <c r="O31" i="5"/>
  <c r="S30" i="5"/>
  <c r="R30" i="5"/>
  <c r="Q30" i="5"/>
  <c r="P30" i="5"/>
  <c r="O30" i="5"/>
  <c r="S29" i="5"/>
  <c r="R29" i="5"/>
  <c r="Q29" i="5"/>
  <c r="P29" i="5"/>
  <c r="O29" i="5"/>
  <c r="S28" i="5"/>
  <c r="R28" i="5"/>
  <c r="Q28" i="5"/>
  <c r="P28" i="5"/>
  <c r="O28" i="5"/>
  <c r="S27" i="5"/>
  <c r="R27" i="5"/>
  <c r="Q27" i="5"/>
  <c r="P27" i="5"/>
  <c r="O27" i="5"/>
  <c r="S26" i="5"/>
  <c r="R26" i="5"/>
  <c r="Q26" i="5"/>
  <c r="P26" i="5"/>
  <c r="O26" i="5"/>
  <c r="S25" i="5"/>
  <c r="R25" i="5"/>
  <c r="Q25" i="5"/>
  <c r="P25" i="5"/>
  <c r="O25" i="5"/>
  <c r="S24" i="5"/>
  <c r="R24" i="5"/>
  <c r="Q24" i="5"/>
  <c r="P24" i="5"/>
  <c r="O24" i="5"/>
  <c r="S23" i="5"/>
  <c r="R23" i="5"/>
  <c r="Q23" i="5"/>
  <c r="P23" i="5"/>
  <c r="O23" i="5"/>
  <c r="S22" i="5"/>
  <c r="R22" i="5"/>
  <c r="Q22" i="5"/>
  <c r="P22" i="5"/>
  <c r="O22" i="5"/>
  <c r="S21" i="5"/>
  <c r="R21" i="5"/>
  <c r="Q21" i="5"/>
  <c r="P21" i="5"/>
  <c r="O21" i="5"/>
  <c r="S20" i="5"/>
  <c r="R20" i="5"/>
  <c r="Q20" i="5"/>
  <c r="P20" i="5"/>
  <c r="O20" i="5"/>
  <c r="S19" i="5"/>
  <c r="R19" i="5"/>
  <c r="Q19" i="5"/>
  <c r="P19" i="5"/>
  <c r="O19" i="5"/>
  <c r="S18" i="5"/>
  <c r="R18" i="5"/>
  <c r="Q18" i="5"/>
  <c r="P18" i="5"/>
  <c r="O18" i="5"/>
  <c r="S17" i="5"/>
  <c r="R17" i="5"/>
  <c r="Q17" i="5"/>
  <c r="P17" i="5"/>
  <c r="O17" i="5"/>
  <c r="S16" i="5"/>
  <c r="R16" i="5"/>
  <c r="Q16" i="5"/>
  <c r="P16" i="5"/>
  <c r="O16" i="5"/>
  <c r="S15" i="5"/>
  <c r="R15" i="5"/>
  <c r="Q15" i="5"/>
  <c r="P15" i="5"/>
  <c r="O15" i="5"/>
  <c r="S14" i="5"/>
  <c r="R14" i="5"/>
  <c r="Q14" i="5"/>
  <c r="P14" i="5"/>
  <c r="O14" i="5"/>
  <c r="S13" i="5"/>
  <c r="R13" i="5"/>
  <c r="Q13" i="5"/>
  <c r="P13" i="5"/>
  <c r="O13" i="5"/>
  <c r="S12" i="5"/>
  <c r="R12" i="5"/>
  <c r="Q12" i="5"/>
  <c r="P12" i="5"/>
  <c r="O12" i="5"/>
  <c r="S11" i="5"/>
  <c r="R11" i="5"/>
  <c r="Q11" i="5"/>
  <c r="P11" i="5"/>
  <c r="O11" i="5"/>
  <c r="S10" i="5"/>
  <c r="R10" i="5"/>
  <c r="Q10" i="5"/>
  <c r="P10" i="5"/>
  <c r="O10" i="5"/>
  <c r="S9" i="5"/>
  <c r="R9" i="5"/>
  <c r="Q9" i="5"/>
  <c r="P9" i="5"/>
  <c r="O9" i="5"/>
  <c r="S8" i="5"/>
  <c r="R8" i="5"/>
  <c r="Q8" i="5"/>
  <c r="P8" i="5"/>
  <c r="O8" i="5"/>
  <c r="S7" i="5"/>
  <c r="R7" i="5"/>
  <c r="Q7" i="5"/>
  <c r="P7" i="5"/>
  <c r="O7" i="5"/>
  <c r="S6" i="5"/>
  <c r="R6" i="5"/>
  <c r="Q6" i="5"/>
  <c r="P6" i="5"/>
  <c r="O6" i="5"/>
  <c r="S5" i="5"/>
  <c r="R5" i="5"/>
  <c r="Q5" i="5"/>
  <c r="P5" i="5"/>
  <c r="O5" i="5"/>
  <c r="S4" i="5"/>
  <c r="R4" i="5"/>
  <c r="Q4" i="5"/>
  <c r="P4" i="5"/>
  <c r="O4" i="5"/>
  <c r="S34" i="6"/>
  <c r="R34" i="6"/>
  <c r="Q34" i="6"/>
  <c r="P34" i="6"/>
  <c r="O34" i="6"/>
  <c r="S33" i="6"/>
  <c r="R33" i="6"/>
  <c r="Q33" i="6"/>
  <c r="P33" i="6"/>
  <c r="O33" i="6"/>
  <c r="S32" i="6"/>
  <c r="R32" i="6"/>
  <c r="U32" i="6" s="1"/>
  <c r="Q32" i="6"/>
  <c r="P32" i="6"/>
  <c r="O32" i="6"/>
  <c r="S31" i="6"/>
  <c r="R31" i="6"/>
  <c r="Q31" i="6"/>
  <c r="P31" i="6"/>
  <c r="O31" i="6"/>
  <c r="S30" i="6"/>
  <c r="R30" i="6"/>
  <c r="Q30" i="6"/>
  <c r="P30" i="6"/>
  <c r="O30" i="6"/>
  <c r="S29" i="6"/>
  <c r="R29" i="6"/>
  <c r="Q29" i="6"/>
  <c r="P29" i="6"/>
  <c r="O29" i="6"/>
  <c r="S28" i="6"/>
  <c r="R28" i="6"/>
  <c r="Q28" i="6"/>
  <c r="P28" i="6"/>
  <c r="O28" i="6"/>
  <c r="S27" i="6"/>
  <c r="R27" i="6"/>
  <c r="Q27" i="6"/>
  <c r="P27" i="6"/>
  <c r="O27" i="6"/>
  <c r="S26" i="6"/>
  <c r="R26" i="6"/>
  <c r="Q26" i="6"/>
  <c r="P26" i="6"/>
  <c r="U26" i="6" s="1"/>
  <c r="O26" i="6"/>
  <c r="S25" i="6"/>
  <c r="R25" i="6"/>
  <c r="Q25" i="6"/>
  <c r="P25" i="6"/>
  <c r="O25" i="6"/>
  <c r="S24" i="6"/>
  <c r="R24" i="6"/>
  <c r="Q24" i="6"/>
  <c r="P24" i="6"/>
  <c r="O24" i="6"/>
  <c r="S23" i="6"/>
  <c r="R23" i="6"/>
  <c r="Q23" i="6"/>
  <c r="P23" i="6"/>
  <c r="O23" i="6"/>
  <c r="S22" i="6"/>
  <c r="R22" i="6"/>
  <c r="Q22" i="6"/>
  <c r="P22" i="6"/>
  <c r="O22" i="6"/>
  <c r="S21" i="6"/>
  <c r="R21" i="6"/>
  <c r="Q21" i="6"/>
  <c r="P21" i="6"/>
  <c r="O21" i="6"/>
  <c r="S20" i="6"/>
  <c r="R20" i="6"/>
  <c r="Q20" i="6"/>
  <c r="P20" i="6"/>
  <c r="O20" i="6"/>
  <c r="S19" i="6"/>
  <c r="R19" i="6"/>
  <c r="Q19" i="6"/>
  <c r="P19" i="6"/>
  <c r="O19" i="6"/>
  <c r="S18" i="6"/>
  <c r="R18" i="6"/>
  <c r="Q18" i="6"/>
  <c r="P18" i="6"/>
  <c r="O18" i="6"/>
  <c r="S17" i="6"/>
  <c r="R17" i="6"/>
  <c r="Q17" i="6"/>
  <c r="P17" i="6"/>
  <c r="O17" i="6"/>
  <c r="S16" i="6"/>
  <c r="R16" i="6"/>
  <c r="Q16" i="6"/>
  <c r="P16" i="6"/>
  <c r="O16" i="6"/>
  <c r="S15" i="6"/>
  <c r="R15" i="6"/>
  <c r="Q15" i="6"/>
  <c r="P15" i="6"/>
  <c r="O15" i="6"/>
  <c r="S14" i="6"/>
  <c r="R14" i="6"/>
  <c r="Q14" i="6"/>
  <c r="P14" i="6"/>
  <c r="O14" i="6"/>
  <c r="S13" i="6"/>
  <c r="R13" i="6"/>
  <c r="Q13" i="6"/>
  <c r="P13" i="6"/>
  <c r="O13" i="6"/>
  <c r="S12" i="6"/>
  <c r="R12" i="6"/>
  <c r="Q12" i="6"/>
  <c r="P12" i="6"/>
  <c r="O12" i="6"/>
  <c r="S11" i="6"/>
  <c r="R11" i="6"/>
  <c r="Q11" i="6"/>
  <c r="P11" i="6"/>
  <c r="O11" i="6"/>
  <c r="S10" i="6"/>
  <c r="R10" i="6"/>
  <c r="Q10" i="6"/>
  <c r="P10" i="6"/>
  <c r="O10" i="6"/>
  <c r="S9" i="6"/>
  <c r="R9" i="6"/>
  <c r="Q9" i="6"/>
  <c r="P9" i="6"/>
  <c r="O9" i="6"/>
  <c r="S8" i="6"/>
  <c r="R8" i="6"/>
  <c r="Q8" i="6"/>
  <c r="P8" i="6"/>
  <c r="O8" i="6"/>
  <c r="S7" i="6"/>
  <c r="R7" i="6"/>
  <c r="Q7" i="6"/>
  <c r="P7" i="6"/>
  <c r="O7" i="6"/>
  <c r="S6" i="6"/>
  <c r="R6" i="6"/>
  <c r="Q6" i="6"/>
  <c r="P6" i="6"/>
  <c r="O6" i="6"/>
  <c r="S5" i="6"/>
  <c r="R5" i="6"/>
  <c r="Q5" i="6"/>
  <c r="U5" i="6" s="1"/>
  <c r="P5" i="6"/>
  <c r="O5" i="6"/>
  <c r="S4" i="6"/>
  <c r="R4" i="6"/>
  <c r="Q4" i="6"/>
  <c r="P4" i="6"/>
  <c r="O4" i="6"/>
  <c r="S34" i="8"/>
  <c r="U34" i="8" s="1"/>
  <c r="R34" i="8"/>
  <c r="Q34" i="8"/>
  <c r="P34" i="8"/>
  <c r="O34" i="8"/>
  <c r="S33" i="8"/>
  <c r="R33" i="8"/>
  <c r="Q33" i="8"/>
  <c r="P33" i="8"/>
  <c r="O33" i="8"/>
  <c r="S32" i="8"/>
  <c r="R32" i="8"/>
  <c r="Q32" i="8"/>
  <c r="P32" i="8"/>
  <c r="O32" i="8"/>
  <c r="U32" i="8" s="1"/>
  <c r="S31" i="8"/>
  <c r="R31" i="8"/>
  <c r="Q31" i="8"/>
  <c r="P31" i="8"/>
  <c r="O31" i="8"/>
  <c r="S30" i="8"/>
  <c r="R30" i="8"/>
  <c r="Q30" i="8"/>
  <c r="P30" i="8"/>
  <c r="O30" i="8"/>
  <c r="S29" i="8"/>
  <c r="R29" i="8"/>
  <c r="Q29" i="8"/>
  <c r="P29" i="8"/>
  <c r="O29" i="8"/>
  <c r="S28" i="8"/>
  <c r="R28" i="8"/>
  <c r="Q28" i="8"/>
  <c r="P28" i="8"/>
  <c r="O28" i="8"/>
  <c r="S27" i="8"/>
  <c r="R27" i="8"/>
  <c r="Q27" i="8"/>
  <c r="P27" i="8"/>
  <c r="O27" i="8"/>
  <c r="S26" i="8"/>
  <c r="U26" i="8" s="1"/>
  <c r="R26" i="8"/>
  <c r="Q26" i="8"/>
  <c r="P26" i="8"/>
  <c r="O26" i="8"/>
  <c r="S25" i="8"/>
  <c r="R25" i="8"/>
  <c r="Q25" i="8"/>
  <c r="P25" i="8"/>
  <c r="O25" i="8"/>
  <c r="S24" i="8"/>
  <c r="R24" i="8"/>
  <c r="Q24" i="8"/>
  <c r="P24" i="8"/>
  <c r="O24" i="8"/>
  <c r="U24" i="8" s="1"/>
  <c r="S23" i="8"/>
  <c r="R23" i="8"/>
  <c r="Q23" i="8"/>
  <c r="P23" i="8"/>
  <c r="O23" i="8"/>
  <c r="S22" i="8"/>
  <c r="R22" i="8"/>
  <c r="Q22" i="8"/>
  <c r="P22" i="8"/>
  <c r="O22" i="8"/>
  <c r="S21" i="8"/>
  <c r="R21" i="8"/>
  <c r="Q21" i="8"/>
  <c r="P21" i="8"/>
  <c r="O21" i="8"/>
  <c r="S20" i="8"/>
  <c r="R20" i="8"/>
  <c r="Q20" i="8"/>
  <c r="P20" i="8"/>
  <c r="O20" i="8"/>
  <c r="S19" i="8"/>
  <c r="R19" i="8"/>
  <c r="Q19" i="8"/>
  <c r="P19" i="8"/>
  <c r="O19" i="8"/>
  <c r="S18" i="8"/>
  <c r="R18" i="8"/>
  <c r="Q18" i="8"/>
  <c r="P18" i="8"/>
  <c r="O18" i="8"/>
  <c r="S17" i="8"/>
  <c r="R17" i="8"/>
  <c r="Q17" i="8"/>
  <c r="P17" i="8"/>
  <c r="O17" i="8"/>
  <c r="S16" i="8"/>
  <c r="R16" i="8"/>
  <c r="Q16" i="8"/>
  <c r="P16" i="8"/>
  <c r="O16" i="8"/>
  <c r="U16" i="8" s="1"/>
  <c r="S15" i="8"/>
  <c r="R15" i="8"/>
  <c r="Q15" i="8"/>
  <c r="P15" i="8"/>
  <c r="O15" i="8"/>
  <c r="S14" i="8"/>
  <c r="R14" i="8"/>
  <c r="Q14" i="8"/>
  <c r="P14" i="8"/>
  <c r="O14" i="8"/>
  <c r="S13" i="8"/>
  <c r="R13" i="8"/>
  <c r="Q13" i="8"/>
  <c r="P13" i="8"/>
  <c r="O13" i="8"/>
  <c r="S12" i="8"/>
  <c r="R12" i="8"/>
  <c r="Q12" i="8"/>
  <c r="P12" i="8"/>
  <c r="O12" i="8"/>
  <c r="S11" i="8"/>
  <c r="R11" i="8"/>
  <c r="Q11" i="8"/>
  <c r="P11" i="8"/>
  <c r="O11" i="8"/>
  <c r="S10" i="8"/>
  <c r="U10" i="8" s="1"/>
  <c r="R10" i="8"/>
  <c r="Q10" i="8"/>
  <c r="P10" i="8"/>
  <c r="O10" i="8"/>
  <c r="S9" i="8"/>
  <c r="R9" i="8"/>
  <c r="Q9" i="8"/>
  <c r="P9" i="8"/>
  <c r="O9" i="8"/>
  <c r="S8" i="8"/>
  <c r="R8" i="8"/>
  <c r="Q8" i="8"/>
  <c r="P8" i="8"/>
  <c r="O8" i="8"/>
  <c r="U8" i="8" s="1"/>
  <c r="S7" i="8"/>
  <c r="R7" i="8"/>
  <c r="Q7" i="8"/>
  <c r="P7" i="8"/>
  <c r="O7" i="8"/>
  <c r="S6" i="8"/>
  <c r="R6" i="8"/>
  <c r="Q6" i="8"/>
  <c r="P6" i="8"/>
  <c r="O6" i="8"/>
  <c r="S5" i="8"/>
  <c r="R5" i="8"/>
  <c r="Q5" i="8"/>
  <c r="P5" i="8"/>
  <c r="O5" i="8"/>
  <c r="S4" i="8"/>
  <c r="R4" i="8"/>
  <c r="Q4" i="8"/>
  <c r="P4" i="8"/>
  <c r="O4" i="8"/>
  <c r="S34" i="7"/>
  <c r="R34" i="7"/>
  <c r="Q34" i="7"/>
  <c r="P34" i="7"/>
  <c r="U34" i="7" s="1"/>
  <c r="O34" i="7"/>
  <c r="S33" i="7"/>
  <c r="R33" i="7"/>
  <c r="Q33" i="7"/>
  <c r="P33" i="7"/>
  <c r="O33" i="7"/>
  <c r="S32" i="7"/>
  <c r="R32" i="7"/>
  <c r="Q32" i="7"/>
  <c r="P32" i="7"/>
  <c r="O32" i="7"/>
  <c r="S31" i="7"/>
  <c r="R31" i="7"/>
  <c r="Q31" i="7"/>
  <c r="P31" i="7"/>
  <c r="O31" i="7"/>
  <c r="S30" i="7"/>
  <c r="R30" i="7"/>
  <c r="Q30" i="7"/>
  <c r="P30" i="7"/>
  <c r="O30" i="7"/>
  <c r="S29" i="7"/>
  <c r="R29" i="7"/>
  <c r="Q29" i="7"/>
  <c r="P29" i="7"/>
  <c r="O29" i="7"/>
  <c r="S28" i="7"/>
  <c r="R28" i="7"/>
  <c r="Q28" i="7"/>
  <c r="P28" i="7"/>
  <c r="O28" i="7"/>
  <c r="S27" i="7"/>
  <c r="R27" i="7"/>
  <c r="Q27" i="7"/>
  <c r="P27" i="7"/>
  <c r="O27" i="7"/>
  <c r="S26" i="7"/>
  <c r="R26" i="7"/>
  <c r="Q26" i="7"/>
  <c r="P26" i="7"/>
  <c r="U26" i="7" s="1"/>
  <c r="O26" i="7"/>
  <c r="S25" i="7"/>
  <c r="R25" i="7"/>
  <c r="Q25" i="7"/>
  <c r="P25" i="7"/>
  <c r="O25" i="7"/>
  <c r="S24" i="7"/>
  <c r="R24" i="7"/>
  <c r="Q24" i="7"/>
  <c r="P24" i="7"/>
  <c r="O24" i="7"/>
  <c r="S23" i="7"/>
  <c r="R23" i="7"/>
  <c r="Q23" i="7"/>
  <c r="P23" i="7"/>
  <c r="O23" i="7"/>
  <c r="S22" i="7"/>
  <c r="R22" i="7"/>
  <c r="Q22" i="7"/>
  <c r="P22" i="7"/>
  <c r="O22" i="7"/>
  <c r="S21" i="7"/>
  <c r="R21" i="7"/>
  <c r="Q21" i="7"/>
  <c r="P21" i="7"/>
  <c r="O21" i="7"/>
  <c r="U21" i="7" s="1"/>
  <c r="S20" i="7"/>
  <c r="R20" i="7"/>
  <c r="Q20" i="7"/>
  <c r="P20" i="7"/>
  <c r="O20" i="7"/>
  <c r="S19" i="7"/>
  <c r="R19" i="7"/>
  <c r="Q19" i="7"/>
  <c r="P19" i="7"/>
  <c r="O19" i="7"/>
  <c r="S18" i="7"/>
  <c r="R18" i="7"/>
  <c r="Q18" i="7"/>
  <c r="P18" i="7"/>
  <c r="O18" i="7"/>
  <c r="S17" i="7"/>
  <c r="R17" i="7"/>
  <c r="Q17" i="7"/>
  <c r="P17" i="7"/>
  <c r="O17" i="7"/>
  <c r="S16" i="7"/>
  <c r="R16" i="7"/>
  <c r="Q16" i="7"/>
  <c r="P16" i="7"/>
  <c r="O16" i="7"/>
  <c r="S15" i="7"/>
  <c r="R15" i="7"/>
  <c r="Q15" i="7"/>
  <c r="P15" i="7"/>
  <c r="O15" i="7"/>
  <c r="S14" i="7"/>
  <c r="R14" i="7"/>
  <c r="Q14" i="7"/>
  <c r="P14" i="7"/>
  <c r="O14" i="7"/>
  <c r="S13" i="7"/>
  <c r="R13" i="7"/>
  <c r="Q13" i="7"/>
  <c r="P13" i="7"/>
  <c r="O13" i="7"/>
  <c r="U13" i="7" s="1"/>
  <c r="S12" i="7"/>
  <c r="R12" i="7"/>
  <c r="Q12" i="7"/>
  <c r="P12" i="7"/>
  <c r="O12" i="7"/>
  <c r="S11" i="7"/>
  <c r="R11" i="7"/>
  <c r="Q11" i="7"/>
  <c r="P11" i="7"/>
  <c r="O11" i="7"/>
  <c r="S10" i="7"/>
  <c r="R10" i="7"/>
  <c r="Q10" i="7"/>
  <c r="P10" i="7"/>
  <c r="O10" i="7"/>
  <c r="S9" i="7"/>
  <c r="R9" i="7"/>
  <c r="Q9" i="7"/>
  <c r="P9" i="7"/>
  <c r="O9" i="7"/>
  <c r="S8" i="7"/>
  <c r="R8" i="7"/>
  <c r="Q8" i="7"/>
  <c r="P8" i="7"/>
  <c r="O8" i="7"/>
  <c r="S7" i="7"/>
  <c r="R7" i="7"/>
  <c r="Q7" i="7"/>
  <c r="P7" i="7"/>
  <c r="O7" i="7"/>
  <c r="S6" i="7"/>
  <c r="R6" i="7"/>
  <c r="Q6" i="7"/>
  <c r="P6" i="7"/>
  <c r="O6" i="7"/>
  <c r="S5" i="7"/>
  <c r="R5" i="7"/>
  <c r="Q5" i="7"/>
  <c r="P5" i="7"/>
  <c r="O5" i="7"/>
  <c r="U5" i="7" s="1"/>
  <c r="S4" i="7"/>
  <c r="R4" i="7"/>
  <c r="Q4" i="7"/>
  <c r="P4" i="7"/>
  <c r="O4" i="7"/>
  <c r="S34" i="9"/>
  <c r="R34" i="9"/>
  <c r="Q34" i="9"/>
  <c r="P34" i="9"/>
  <c r="O34" i="9"/>
  <c r="S33" i="9"/>
  <c r="R33" i="9"/>
  <c r="Q33" i="9"/>
  <c r="P33" i="9"/>
  <c r="O33" i="9"/>
  <c r="S32" i="9"/>
  <c r="R32" i="9"/>
  <c r="Q32" i="9"/>
  <c r="P32" i="9"/>
  <c r="O32" i="9"/>
  <c r="S31" i="9"/>
  <c r="R31" i="9"/>
  <c r="Q31" i="9"/>
  <c r="P31" i="9"/>
  <c r="O31" i="9"/>
  <c r="S30" i="9"/>
  <c r="R30" i="9"/>
  <c r="Q30" i="9"/>
  <c r="P30" i="9"/>
  <c r="O30" i="9"/>
  <c r="S29" i="9"/>
  <c r="R29" i="9"/>
  <c r="Q29" i="9"/>
  <c r="P29" i="9"/>
  <c r="O29" i="9"/>
  <c r="S28" i="9"/>
  <c r="R28" i="9"/>
  <c r="Q28" i="9"/>
  <c r="P28" i="9"/>
  <c r="O28" i="9"/>
  <c r="S27" i="9"/>
  <c r="R27" i="9"/>
  <c r="Q27" i="9"/>
  <c r="P27" i="9"/>
  <c r="O27" i="9"/>
  <c r="S26" i="9"/>
  <c r="R26" i="9"/>
  <c r="Q26" i="9"/>
  <c r="P26" i="9"/>
  <c r="O26" i="9"/>
  <c r="S25" i="9"/>
  <c r="R25" i="9"/>
  <c r="Q25" i="9"/>
  <c r="P25" i="9"/>
  <c r="O25" i="9"/>
  <c r="S24" i="9"/>
  <c r="R24" i="9"/>
  <c r="Q24" i="9"/>
  <c r="P24" i="9"/>
  <c r="O24" i="9"/>
  <c r="S23" i="9"/>
  <c r="R23" i="9"/>
  <c r="Q23" i="9"/>
  <c r="P23" i="9"/>
  <c r="O23" i="9"/>
  <c r="S22" i="9"/>
  <c r="R22" i="9"/>
  <c r="Q22" i="9"/>
  <c r="P22" i="9"/>
  <c r="O22" i="9"/>
  <c r="S21" i="9"/>
  <c r="R21" i="9"/>
  <c r="Q21" i="9"/>
  <c r="P21" i="9"/>
  <c r="O21" i="9"/>
  <c r="S20" i="9"/>
  <c r="R20" i="9"/>
  <c r="Q20" i="9"/>
  <c r="P20" i="9"/>
  <c r="O20" i="9"/>
  <c r="S19" i="9"/>
  <c r="R19" i="9"/>
  <c r="Q19" i="9"/>
  <c r="P19" i="9"/>
  <c r="O19" i="9"/>
  <c r="S18" i="9"/>
  <c r="R18" i="9"/>
  <c r="Q18" i="9"/>
  <c r="P18" i="9"/>
  <c r="O18" i="9"/>
  <c r="S17" i="9"/>
  <c r="R17" i="9"/>
  <c r="Q17" i="9"/>
  <c r="P17" i="9"/>
  <c r="O17" i="9"/>
  <c r="S16" i="9"/>
  <c r="R16" i="9"/>
  <c r="Q16" i="9"/>
  <c r="P16" i="9"/>
  <c r="O16" i="9"/>
  <c r="S15" i="9"/>
  <c r="R15" i="9"/>
  <c r="Q15" i="9"/>
  <c r="P15" i="9"/>
  <c r="O15" i="9"/>
  <c r="S14" i="9"/>
  <c r="R14" i="9"/>
  <c r="Q14" i="9"/>
  <c r="P14" i="9"/>
  <c r="O14" i="9"/>
  <c r="S13" i="9"/>
  <c r="R13" i="9"/>
  <c r="Q13" i="9"/>
  <c r="P13" i="9"/>
  <c r="O13" i="9"/>
  <c r="S12" i="9"/>
  <c r="R12" i="9"/>
  <c r="Q12" i="9"/>
  <c r="P12" i="9"/>
  <c r="O12" i="9"/>
  <c r="S11" i="9"/>
  <c r="R11" i="9"/>
  <c r="Q11" i="9"/>
  <c r="P11" i="9"/>
  <c r="O11" i="9"/>
  <c r="S10" i="9"/>
  <c r="R10" i="9"/>
  <c r="Q10" i="9"/>
  <c r="P10" i="9"/>
  <c r="O10" i="9"/>
  <c r="S9" i="9"/>
  <c r="R9" i="9"/>
  <c r="Q9" i="9"/>
  <c r="P9" i="9"/>
  <c r="O9" i="9"/>
  <c r="S8" i="9"/>
  <c r="R8" i="9"/>
  <c r="Q8" i="9"/>
  <c r="P8" i="9"/>
  <c r="O8" i="9"/>
  <c r="S7" i="9"/>
  <c r="R7" i="9"/>
  <c r="Q7" i="9"/>
  <c r="P7" i="9"/>
  <c r="O7" i="9"/>
  <c r="S6" i="9"/>
  <c r="R6" i="9"/>
  <c r="Q6" i="9"/>
  <c r="P6" i="9"/>
  <c r="O6" i="9"/>
  <c r="S5" i="9"/>
  <c r="R5" i="9"/>
  <c r="Q5" i="9"/>
  <c r="P5" i="9"/>
  <c r="O5" i="9"/>
  <c r="S4" i="9"/>
  <c r="R4" i="9"/>
  <c r="Q4" i="9"/>
  <c r="P4" i="9"/>
  <c r="O4" i="9"/>
  <c r="S34" i="10"/>
  <c r="R34" i="10"/>
  <c r="Q34" i="10"/>
  <c r="P34" i="10"/>
  <c r="O34" i="10"/>
  <c r="S33" i="10"/>
  <c r="R33" i="10"/>
  <c r="Q33" i="10"/>
  <c r="P33" i="10"/>
  <c r="O33" i="10"/>
  <c r="S32" i="10"/>
  <c r="R32" i="10"/>
  <c r="Q32" i="10"/>
  <c r="P32" i="10"/>
  <c r="O32" i="10"/>
  <c r="S31" i="10"/>
  <c r="R31" i="10"/>
  <c r="Q31" i="10"/>
  <c r="P31" i="10"/>
  <c r="O31" i="10"/>
  <c r="S30" i="10"/>
  <c r="R30" i="10"/>
  <c r="Q30" i="10"/>
  <c r="P30" i="10"/>
  <c r="O30" i="10"/>
  <c r="S29" i="10"/>
  <c r="R29" i="10"/>
  <c r="Q29" i="10"/>
  <c r="P29" i="10"/>
  <c r="O29" i="10"/>
  <c r="S28" i="10"/>
  <c r="R28" i="10"/>
  <c r="Q28" i="10"/>
  <c r="P28" i="10"/>
  <c r="O28" i="10"/>
  <c r="S27" i="10"/>
  <c r="R27" i="10"/>
  <c r="Q27" i="10"/>
  <c r="P27" i="10"/>
  <c r="O27" i="10"/>
  <c r="S26" i="10"/>
  <c r="R26" i="10"/>
  <c r="U26" i="10" s="1"/>
  <c r="Q26" i="10"/>
  <c r="P26" i="10"/>
  <c r="O26" i="10"/>
  <c r="S25" i="10"/>
  <c r="R25" i="10"/>
  <c r="Q25" i="10"/>
  <c r="P25" i="10"/>
  <c r="O25" i="10"/>
  <c r="S24" i="10"/>
  <c r="R24" i="10"/>
  <c r="Q24" i="10"/>
  <c r="P24" i="10"/>
  <c r="O24" i="10"/>
  <c r="S23" i="10"/>
  <c r="R23" i="10"/>
  <c r="Q23" i="10"/>
  <c r="P23" i="10"/>
  <c r="O23" i="10"/>
  <c r="S22" i="10"/>
  <c r="R22" i="10"/>
  <c r="Q22" i="10"/>
  <c r="P22" i="10"/>
  <c r="O22" i="10"/>
  <c r="S21" i="10"/>
  <c r="R21" i="10"/>
  <c r="Q21" i="10"/>
  <c r="P21" i="10"/>
  <c r="O21" i="10"/>
  <c r="S20" i="10"/>
  <c r="R20" i="10"/>
  <c r="Q20" i="10"/>
  <c r="P20" i="10"/>
  <c r="O20" i="10"/>
  <c r="S19" i="10"/>
  <c r="R19" i="10"/>
  <c r="Q19" i="10"/>
  <c r="P19" i="10"/>
  <c r="O19" i="10"/>
  <c r="S18" i="10"/>
  <c r="R18" i="10"/>
  <c r="Q18" i="10"/>
  <c r="P18" i="10"/>
  <c r="O18" i="10"/>
  <c r="S17" i="10"/>
  <c r="R17" i="10"/>
  <c r="Q17" i="10"/>
  <c r="P17" i="10"/>
  <c r="O17" i="10"/>
  <c r="S16" i="10"/>
  <c r="R16" i="10"/>
  <c r="Q16" i="10"/>
  <c r="P16" i="10"/>
  <c r="O16" i="10"/>
  <c r="S15" i="10"/>
  <c r="R15" i="10"/>
  <c r="Q15" i="10"/>
  <c r="P15" i="10"/>
  <c r="O15" i="10"/>
  <c r="S14" i="10"/>
  <c r="R14" i="10"/>
  <c r="Q14" i="10"/>
  <c r="P14" i="10"/>
  <c r="O14" i="10"/>
  <c r="S13" i="10"/>
  <c r="R13" i="10"/>
  <c r="Q13" i="10"/>
  <c r="P13" i="10"/>
  <c r="O13" i="10"/>
  <c r="S12" i="10"/>
  <c r="R12" i="10"/>
  <c r="Q12" i="10"/>
  <c r="P12" i="10"/>
  <c r="O12" i="10"/>
  <c r="S11" i="10"/>
  <c r="R11" i="10"/>
  <c r="Q11" i="10"/>
  <c r="P11" i="10"/>
  <c r="O11" i="10"/>
  <c r="S10" i="10"/>
  <c r="R10" i="10"/>
  <c r="Q10" i="10"/>
  <c r="P10" i="10"/>
  <c r="O10" i="10"/>
  <c r="S9" i="10"/>
  <c r="R9" i="10"/>
  <c r="Q9" i="10"/>
  <c r="P9" i="10"/>
  <c r="O9" i="10"/>
  <c r="S8" i="10"/>
  <c r="R8" i="10"/>
  <c r="Q8" i="10"/>
  <c r="P8" i="10"/>
  <c r="O8" i="10"/>
  <c r="S7" i="10"/>
  <c r="R7" i="10"/>
  <c r="Q7" i="10"/>
  <c r="P7" i="10"/>
  <c r="O7" i="10"/>
  <c r="S6" i="10"/>
  <c r="R6" i="10"/>
  <c r="Q6" i="10"/>
  <c r="P6" i="10"/>
  <c r="O6" i="10"/>
  <c r="S5" i="10"/>
  <c r="R5" i="10"/>
  <c r="Q5" i="10"/>
  <c r="P5" i="10"/>
  <c r="O5" i="10"/>
  <c r="S4" i="10"/>
  <c r="R4" i="10"/>
  <c r="Q4" i="10"/>
  <c r="P4" i="10"/>
  <c r="O4" i="10"/>
  <c r="S34" i="11"/>
  <c r="R34" i="11"/>
  <c r="Q34" i="11"/>
  <c r="P34" i="11"/>
  <c r="O34" i="11"/>
  <c r="S33" i="11"/>
  <c r="R33" i="11"/>
  <c r="Q33" i="11"/>
  <c r="P33" i="11"/>
  <c r="O33" i="11"/>
  <c r="S32" i="11"/>
  <c r="R32" i="11"/>
  <c r="Q32" i="11"/>
  <c r="P32" i="11"/>
  <c r="O32" i="11"/>
  <c r="S31" i="11"/>
  <c r="R31" i="11"/>
  <c r="Q31" i="11"/>
  <c r="P31" i="11"/>
  <c r="O31" i="11"/>
  <c r="S30" i="11"/>
  <c r="R30" i="11"/>
  <c r="Q30" i="11"/>
  <c r="P30" i="11"/>
  <c r="O30" i="11"/>
  <c r="S29" i="11"/>
  <c r="R29" i="11"/>
  <c r="Q29" i="11"/>
  <c r="P29" i="11"/>
  <c r="O29" i="11"/>
  <c r="S28" i="11"/>
  <c r="R28" i="11"/>
  <c r="Q28" i="11"/>
  <c r="P28" i="11"/>
  <c r="O28" i="11"/>
  <c r="S27" i="11"/>
  <c r="R27" i="11"/>
  <c r="Q27" i="11"/>
  <c r="P27" i="11"/>
  <c r="O27" i="11"/>
  <c r="S26" i="11"/>
  <c r="R26" i="11"/>
  <c r="Q26" i="11"/>
  <c r="P26" i="11"/>
  <c r="O26" i="11"/>
  <c r="S25" i="11"/>
  <c r="R25" i="11"/>
  <c r="Q25" i="11"/>
  <c r="P25" i="11"/>
  <c r="O25" i="11"/>
  <c r="S24" i="11"/>
  <c r="R24" i="11"/>
  <c r="Q24" i="11"/>
  <c r="P24" i="11"/>
  <c r="O24" i="11"/>
  <c r="S23" i="11"/>
  <c r="R23" i="11"/>
  <c r="Q23" i="11"/>
  <c r="P23" i="11"/>
  <c r="O23" i="11"/>
  <c r="S22" i="11"/>
  <c r="R22" i="11"/>
  <c r="Q22" i="11"/>
  <c r="P22" i="11"/>
  <c r="O22" i="11"/>
  <c r="S21" i="11"/>
  <c r="R21" i="11"/>
  <c r="Q21" i="11"/>
  <c r="P21" i="11"/>
  <c r="O21" i="11"/>
  <c r="S20" i="11"/>
  <c r="R20" i="11"/>
  <c r="Q20" i="11"/>
  <c r="P20" i="11"/>
  <c r="O20" i="11"/>
  <c r="S19" i="11"/>
  <c r="R19" i="11"/>
  <c r="Q19" i="11"/>
  <c r="P19" i="11"/>
  <c r="O19" i="11"/>
  <c r="S18" i="11"/>
  <c r="R18" i="11"/>
  <c r="Q18" i="11"/>
  <c r="P18" i="11"/>
  <c r="O18" i="11"/>
  <c r="S17" i="11"/>
  <c r="R17" i="11"/>
  <c r="Q17" i="11"/>
  <c r="P17" i="11"/>
  <c r="O17" i="11"/>
  <c r="S16" i="11"/>
  <c r="R16" i="11"/>
  <c r="Q16" i="11"/>
  <c r="P16" i="11"/>
  <c r="O16" i="11"/>
  <c r="S15" i="11"/>
  <c r="R15" i="11"/>
  <c r="Q15" i="11"/>
  <c r="P15" i="11"/>
  <c r="O15" i="11"/>
  <c r="S14" i="11"/>
  <c r="R14" i="11"/>
  <c r="Q14" i="11"/>
  <c r="P14" i="11"/>
  <c r="O14" i="11"/>
  <c r="S13" i="11"/>
  <c r="R13" i="11"/>
  <c r="Q13" i="11"/>
  <c r="P13" i="11"/>
  <c r="O13" i="11"/>
  <c r="S12" i="11"/>
  <c r="R12" i="11"/>
  <c r="Q12" i="11"/>
  <c r="P12" i="11"/>
  <c r="O12" i="11"/>
  <c r="S11" i="11"/>
  <c r="R11" i="11"/>
  <c r="Q11" i="11"/>
  <c r="P11" i="11"/>
  <c r="O11" i="11"/>
  <c r="S10" i="11"/>
  <c r="R10" i="11"/>
  <c r="Q10" i="11"/>
  <c r="P10" i="11"/>
  <c r="O10" i="11"/>
  <c r="S9" i="11"/>
  <c r="R9" i="11"/>
  <c r="Q9" i="11"/>
  <c r="P9" i="11"/>
  <c r="O9" i="11"/>
  <c r="S8" i="11"/>
  <c r="R8" i="11"/>
  <c r="Q8" i="11"/>
  <c r="P8" i="11"/>
  <c r="O8" i="11"/>
  <c r="S7" i="11"/>
  <c r="R7" i="11"/>
  <c r="Q7" i="11"/>
  <c r="P7" i="11"/>
  <c r="O7" i="11"/>
  <c r="S6" i="11"/>
  <c r="R6" i="11"/>
  <c r="Q6" i="11"/>
  <c r="P6" i="11"/>
  <c r="O6" i="11"/>
  <c r="S5" i="11"/>
  <c r="R5" i="11"/>
  <c r="Q5" i="11"/>
  <c r="P5" i="11"/>
  <c r="O5" i="11"/>
  <c r="S4" i="11"/>
  <c r="R4" i="11"/>
  <c r="Q4" i="11"/>
  <c r="P4" i="11"/>
  <c r="O4" i="11"/>
  <c r="S34" i="12"/>
  <c r="R34" i="12"/>
  <c r="Q34" i="12"/>
  <c r="P34" i="12"/>
  <c r="O34" i="12"/>
  <c r="S33" i="12"/>
  <c r="R33" i="12"/>
  <c r="Q33" i="12"/>
  <c r="P33" i="12"/>
  <c r="O33" i="12"/>
  <c r="S32" i="12"/>
  <c r="R32" i="12"/>
  <c r="Q32" i="12"/>
  <c r="P32" i="12"/>
  <c r="O32" i="12"/>
  <c r="S31" i="12"/>
  <c r="R31" i="12"/>
  <c r="Q31" i="12"/>
  <c r="P31" i="12"/>
  <c r="O31" i="12"/>
  <c r="S30" i="12"/>
  <c r="R30" i="12"/>
  <c r="Q30" i="12"/>
  <c r="P30" i="12"/>
  <c r="O30" i="12"/>
  <c r="S29" i="12"/>
  <c r="R29" i="12"/>
  <c r="Q29" i="12"/>
  <c r="P29" i="12"/>
  <c r="O29" i="12"/>
  <c r="S28" i="12"/>
  <c r="R28" i="12"/>
  <c r="Q28" i="12"/>
  <c r="P28" i="12"/>
  <c r="O28" i="12"/>
  <c r="S27" i="12"/>
  <c r="R27" i="12"/>
  <c r="Q27" i="12"/>
  <c r="P27" i="12"/>
  <c r="O27" i="12"/>
  <c r="S26" i="12"/>
  <c r="R26" i="12"/>
  <c r="Q26" i="12"/>
  <c r="P26" i="12"/>
  <c r="O26" i="12"/>
  <c r="S25" i="12"/>
  <c r="R25" i="12"/>
  <c r="Q25" i="12"/>
  <c r="P25" i="12"/>
  <c r="O25" i="12"/>
  <c r="S24" i="12"/>
  <c r="R24" i="12"/>
  <c r="Q24" i="12"/>
  <c r="P24" i="12"/>
  <c r="O24" i="12"/>
  <c r="S23" i="12"/>
  <c r="R23" i="12"/>
  <c r="Q23" i="12"/>
  <c r="P23" i="12"/>
  <c r="O23" i="12"/>
  <c r="S22" i="12"/>
  <c r="R22" i="12"/>
  <c r="Q22" i="12"/>
  <c r="P22" i="12"/>
  <c r="O22" i="12"/>
  <c r="S21" i="12"/>
  <c r="R21" i="12"/>
  <c r="Q21" i="12"/>
  <c r="P21" i="12"/>
  <c r="O21" i="12"/>
  <c r="S20" i="12"/>
  <c r="R20" i="12"/>
  <c r="Q20" i="12"/>
  <c r="P20" i="12"/>
  <c r="O20" i="12"/>
  <c r="S19" i="12"/>
  <c r="R19" i="12"/>
  <c r="Q19" i="12"/>
  <c r="P19" i="12"/>
  <c r="O19" i="12"/>
  <c r="S18" i="12"/>
  <c r="R18" i="12"/>
  <c r="Q18" i="12"/>
  <c r="P18" i="12"/>
  <c r="O18" i="12"/>
  <c r="S17" i="12"/>
  <c r="R17" i="12"/>
  <c r="Q17" i="12"/>
  <c r="P17" i="12"/>
  <c r="O17" i="12"/>
  <c r="S16" i="12"/>
  <c r="R16" i="12"/>
  <c r="Q16" i="12"/>
  <c r="P16" i="12"/>
  <c r="O16" i="12"/>
  <c r="S15" i="12"/>
  <c r="R15" i="12"/>
  <c r="Q15" i="12"/>
  <c r="P15" i="12"/>
  <c r="O15" i="12"/>
  <c r="S14" i="12"/>
  <c r="R14" i="12"/>
  <c r="Q14" i="12"/>
  <c r="P14" i="12"/>
  <c r="O14" i="12"/>
  <c r="S13" i="12"/>
  <c r="R13" i="12"/>
  <c r="Q13" i="12"/>
  <c r="P13" i="12"/>
  <c r="O13" i="12"/>
  <c r="S12" i="12"/>
  <c r="R12" i="12"/>
  <c r="Q12" i="12"/>
  <c r="P12" i="12"/>
  <c r="O12" i="12"/>
  <c r="S11" i="12"/>
  <c r="R11" i="12"/>
  <c r="Q11" i="12"/>
  <c r="P11" i="12"/>
  <c r="O11" i="12"/>
  <c r="S10" i="12"/>
  <c r="R10" i="12"/>
  <c r="Q10" i="12"/>
  <c r="P10" i="12"/>
  <c r="O10" i="12"/>
  <c r="S9" i="12"/>
  <c r="R9" i="12"/>
  <c r="Q9" i="12"/>
  <c r="P9" i="12"/>
  <c r="O9" i="12"/>
  <c r="S8" i="12"/>
  <c r="R8" i="12"/>
  <c r="Q8" i="12"/>
  <c r="P8" i="12"/>
  <c r="O8" i="12"/>
  <c r="S7" i="12"/>
  <c r="R7" i="12"/>
  <c r="Q7" i="12"/>
  <c r="P7" i="12"/>
  <c r="O7" i="12"/>
  <c r="S6" i="12"/>
  <c r="R6" i="12"/>
  <c r="Q6" i="12"/>
  <c r="P6" i="12"/>
  <c r="O6" i="12"/>
  <c r="S5" i="12"/>
  <c r="R5" i="12"/>
  <c r="Q5" i="12"/>
  <c r="P5" i="12"/>
  <c r="O5" i="12"/>
  <c r="S4" i="12"/>
  <c r="R4" i="12"/>
  <c r="Q4" i="12"/>
  <c r="P4" i="12"/>
  <c r="O4" i="12"/>
  <c r="S34" i="13"/>
  <c r="R34" i="13"/>
  <c r="Q34" i="13"/>
  <c r="P34" i="13"/>
  <c r="O34" i="13"/>
  <c r="S33" i="13"/>
  <c r="R33" i="13"/>
  <c r="Q33" i="13"/>
  <c r="P33" i="13"/>
  <c r="O33" i="13"/>
  <c r="S32" i="13"/>
  <c r="R32" i="13"/>
  <c r="Q32" i="13"/>
  <c r="P32" i="13"/>
  <c r="O32" i="13"/>
  <c r="S31" i="13"/>
  <c r="R31" i="13"/>
  <c r="Q31" i="13"/>
  <c r="P31" i="13"/>
  <c r="O31" i="13"/>
  <c r="S30" i="13"/>
  <c r="R30" i="13"/>
  <c r="Q30" i="13"/>
  <c r="P30" i="13"/>
  <c r="O30" i="13"/>
  <c r="S29" i="13"/>
  <c r="R29" i="13"/>
  <c r="Q29" i="13"/>
  <c r="P29" i="13"/>
  <c r="O29" i="13"/>
  <c r="S28" i="13"/>
  <c r="R28" i="13"/>
  <c r="Q28" i="13"/>
  <c r="P28" i="13"/>
  <c r="O28" i="13"/>
  <c r="S27" i="13"/>
  <c r="R27" i="13"/>
  <c r="Q27" i="13"/>
  <c r="P27" i="13"/>
  <c r="O27" i="13"/>
  <c r="S26" i="13"/>
  <c r="R26" i="13"/>
  <c r="Q26" i="13"/>
  <c r="P26" i="13"/>
  <c r="O26" i="13"/>
  <c r="S25" i="13"/>
  <c r="R25" i="13"/>
  <c r="Q25" i="13"/>
  <c r="P25" i="13"/>
  <c r="O25" i="13"/>
  <c r="S24" i="13"/>
  <c r="R24" i="13"/>
  <c r="Q24" i="13"/>
  <c r="P24" i="13"/>
  <c r="O24" i="13"/>
  <c r="S23" i="13"/>
  <c r="R23" i="13"/>
  <c r="Q23" i="13"/>
  <c r="P23" i="13"/>
  <c r="O23" i="13"/>
  <c r="S22" i="13"/>
  <c r="R22" i="13"/>
  <c r="Q22" i="13"/>
  <c r="P22" i="13"/>
  <c r="O22" i="13"/>
  <c r="S21" i="13"/>
  <c r="R21" i="13"/>
  <c r="Q21" i="13"/>
  <c r="P21" i="13"/>
  <c r="O21" i="13"/>
  <c r="S20" i="13"/>
  <c r="R20" i="13"/>
  <c r="Q20" i="13"/>
  <c r="P20" i="13"/>
  <c r="O20" i="13"/>
  <c r="S19" i="13"/>
  <c r="R19" i="13"/>
  <c r="Q19" i="13"/>
  <c r="P19" i="13"/>
  <c r="O19" i="13"/>
  <c r="S18" i="13"/>
  <c r="R18" i="13"/>
  <c r="Q18" i="13"/>
  <c r="P18" i="13"/>
  <c r="O18" i="13"/>
  <c r="S17" i="13"/>
  <c r="R17" i="13"/>
  <c r="Q17" i="13"/>
  <c r="P17" i="13"/>
  <c r="O17" i="13"/>
  <c r="S16" i="13"/>
  <c r="R16" i="13"/>
  <c r="Q16" i="13"/>
  <c r="P16" i="13"/>
  <c r="O16" i="13"/>
  <c r="S15" i="13"/>
  <c r="R15" i="13"/>
  <c r="Q15" i="13"/>
  <c r="P15" i="13"/>
  <c r="O15" i="13"/>
  <c r="S14" i="13"/>
  <c r="R14" i="13"/>
  <c r="Q14" i="13"/>
  <c r="P14" i="13"/>
  <c r="O14" i="13"/>
  <c r="S13" i="13"/>
  <c r="R13" i="13"/>
  <c r="Q13" i="13"/>
  <c r="P13" i="13"/>
  <c r="O13" i="13"/>
  <c r="S12" i="13"/>
  <c r="R12" i="13"/>
  <c r="Q12" i="13"/>
  <c r="P12" i="13"/>
  <c r="O12" i="13"/>
  <c r="S11" i="13"/>
  <c r="R11" i="13"/>
  <c r="Q11" i="13"/>
  <c r="P11" i="13"/>
  <c r="O11" i="13"/>
  <c r="S10" i="13"/>
  <c r="R10" i="13"/>
  <c r="Q10" i="13"/>
  <c r="P10" i="13"/>
  <c r="O10" i="13"/>
  <c r="S9" i="13"/>
  <c r="R9" i="13"/>
  <c r="Q9" i="13"/>
  <c r="P9" i="13"/>
  <c r="O9" i="13"/>
  <c r="S8" i="13"/>
  <c r="R8" i="13"/>
  <c r="Q8" i="13"/>
  <c r="P8" i="13"/>
  <c r="O8" i="13"/>
  <c r="S7" i="13"/>
  <c r="R7" i="13"/>
  <c r="Q7" i="13"/>
  <c r="P7" i="13"/>
  <c r="O7" i="13"/>
  <c r="S6" i="13"/>
  <c r="R6" i="13"/>
  <c r="Q6" i="13"/>
  <c r="P6" i="13"/>
  <c r="O6" i="13"/>
  <c r="S5" i="13"/>
  <c r="R5" i="13"/>
  <c r="Q5" i="13"/>
  <c r="P5" i="13"/>
  <c r="O5" i="13"/>
  <c r="S4" i="13"/>
  <c r="R4" i="13"/>
  <c r="Q4" i="13"/>
  <c r="P4" i="13"/>
  <c r="O4" i="13"/>
  <c r="X10" i="4"/>
  <c r="X9" i="4"/>
  <c r="Y9" i="4" s="1"/>
  <c r="D10" i="16"/>
  <c r="B19" i="16"/>
  <c r="A20" i="16"/>
  <c r="A15" i="16"/>
  <c r="A13" i="16"/>
  <c r="A10" i="16"/>
  <c r="A5" i="16"/>
  <c r="A4" i="16"/>
  <c r="A19" i="16"/>
  <c r="A18" i="16"/>
  <c r="A17" i="16"/>
  <c r="A16" i="16"/>
  <c r="A14" i="16"/>
  <c r="A11" i="16"/>
  <c r="A6" i="16"/>
  <c r="A9" i="16"/>
  <c r="A8" i="16"/>
  <c r="A7" i="16"/>
  <c r="M19" i="16"/>
  <c r="M18" i="16"/>
  <c r="M17" i="16"/>
  <c r="M16" i="16"/>
  <c r="M15" i="16"/>
  <c r="M11" i="16"/>
  <c r="M9" i="16"/>
  <c r="M5" i="16"/>
  <c r="L19" i="16"/>
  <c r="L18" i="16"/>
  <c r="L17" i="16"/>
  <c r="L16" i="16"/>
  <c r="L15" i="16"/>
  <c r="L9" i="16"/>
  <c r="L5" i="16"/>
  <c r="K19" i="16"/>
  <c r="K18" i="16"/>
  <c r="K17" i="16"/>
  <c r="K16" i="16"/>
  <c r="K15" i="16"/>
  <c r="K6" i="16"/>
  <c r="K9" i="16"/>
  <c r="K5" i="16"/>
  <c r="J19" i="16"/>
  <c r="J18" i="16"/>
  <c r="J17" i="16"/>
  <c r="J15" i="16"/>
  <c r="J6" i="16"/>
  <c r="J9" i="16"/>
  <c r="J5" i="16"/>
  <c r="I19" i="16"/>
  <c r="I18" i="16"/>
  <c r="I17" i="16"/>
  <c r="I16" i="16"/>
  <c r="I15" i="16"/>
  <c r="I6" i="16"/>
  <c r="I9" i="16"/>
  <c r="I5" i="16"/>
  <c r="H19" i="16"/>
  <c r="H18" i="16"/>
  <c r="H17" i="16"/>
  <c r="H16" i="16"/>
  <c r="H15" i="16"/>
  <c r="H9" i="16"/>
  <c r="H5" i="16"/>
  <c r="G19" i="16"/>
  <c r="G18" i="16"/>
  <c r="G17" i="16"/>
  <c r="G16" i="16"/>
  <c r="G15" i="16"/>
  <c r="G9" i="16"/>
  <c r="G5" i="16"/>
  <c r="F19" i="16"/>
  <c r="F18" i="16"/>
  <c r="F17" i="16"/>
  <c r="F16" i="16"/>
  <c r="F15" i="16"/>
  <c r="F9" i="16"/>
  <c r="F5" i="16"/>
  <c r="E19" i="16"/>
  <c r="E18" i="16"/>
  <c r="E17" i="16"/>
  <c r="E16" i="16"/>
  <c r="E15" i="16"/>
  <c r="E9" i="16"/>
  <c r="E5" i="16"/>
  <c r="D19" i="16"/>
  <c r="D18" i="16"/>
  <c r="D17" i="16"/>
  <c r="D16" i="16"/>
  <c r="D15" i="16"/>
  <c r="D9" i="16"/>
  <c r="D5" i="16"/>
  <c r="C16" i="16"/>
  <c r="C17" i="16"/>
  <c r="C18" i="16"/>
  <c r="C9" i="16"/>
  <c r="C5" i="16"/>
  <c r="B18" i="16"/>
  <c r="B17" i="16"/>
  <c r="B16" i="16"/>
  <c r="B15" i="16"/>
  <c r="B9" i="16"/>
  <c r="B5" i="16"/>
  <c r="I36" i="14"/>
  <c r="H36" i="14"/>
  <c r="G36" i="14"/>
  <c r="F36" i="14"/>
  <c r="E36" i="14"/>
  <c r="D36" i="14"/>
  <c r="C36" i="14"/>
  <c r="D7" i="16"/>
  <c r="I36" i="13"/>
  <c r="H36" i="13"/>
  <c r="G36" i="13"/>
  <c r="F36" i="13"/>
  <c r="E36" i="13"/>
  <c r="D36" i="13"/>
  <c r="C36" i="13"/>
  <c r="E6" i="16"/>
  <c r="E8" i="16"/>
  <c r="I36" i="12"/>
  <c r="H36" i="12"/>
  <c r="G36" i="12"/>
  <c r="F36" i="12"/>
  <c r="E36" i="12"/>
  <c r="D36" i="12"/>
  <c r="C36" i="12"/>
  <c r="F10" i="16"/>
  <c r="F6" i="16"/>
  <c r="F8" i="16"/>
  <c r="F7" i="16"/>
  <c r="I36" i="11"/>
  <c r="H36" i="11"/>
  <c r="G36" i="11"/>
  <c r="F36" i="11"/>
  <c r="E36" i="11"/>
  <c r="D36" i="11"/>
  <c r="C36" i="11"/>
  <c r="G10" i="16"/>
  <c r="G6" i="16"/>
  <c r="G8" i="16"/>
  <c r="G7" i="16"/>
  <c r="I36" i="10"/>
  <c r="H36" i="10"/>
  <c r="G36" i="10"/>
  <c r="F36" i="10"/>
  <c r="E36" i="10"/>
  <c r="D36" i="10"/>
  <c r="C36" i="10"/>
  <c r="H11" i="16"/>
  <c r="H10" i="16"/>
  <c r="H6" i="16"/>
  <c r="H8" i="16"/>
  <c r="I36" i="9"/>
  <c r="H36" i="9"/>
  <c r="G36" i="9"/>
  <c r="F36" i="9"/>
  <c r="E36" i="9"/>
  <c r="D36" i="9"/>
  <c r="C36" i="9"/>
  <c r="I11" i="16"/>
  <c r="I8" i="16"/>
  <c r="I7" i="16"/>
  <c r="I36" i="8"/>
  <c r="H36" i="8"/>
  <c r="G36" i="8"/>
  <c r="F36" i="8"/>
  <c r="E36" i="8"/>
  <c r="D36" i="8"/>
  <c r="C36" i="8"/>
  <c r="K14" i="16"/>
  <c r="K11" i="16"/>
  <c r="K10" i="16"/>
  <c r="I36" i="7"/>
  <c r="H36" i="7"/>
  <c r="G36" i="7"/>
  <c r="F36" i="7"/>
  <c r="E36" i="7"/>
  <c r="D36" i="7"/>
  <c r="C36" i="7"/>
  <c r="U29" i="7"/>
  <c r="J11" i="16"/>
  <c r="J10" i="16"/>
  <c r="J8" i="16"/>
  <c r="J7" i="16"/>
  <c r="I36" i="6"/>
  <c r="H36" i="6"/>
  <c r="G36" i="6"/>
  <c r="F36" i="6"/>
  <c r="E36" i="6"/>
  <c r="D36" i="6"/>
  <c r="C36" i="6"/>
  <c r="L14" i="16"/>
  <c r="L6" i="16"/>
  <c r="L8" i="16"/>
  <c r="L7" i="16"/>
  <c r="I36" i="5"/>
  <c r="H36" i="5"/>
  <c r="G36" i="5"/>
  <c r="F36" i="5"/>
  <c r="E36" i="5"/>
  <c r="D36" i="5"/>
  <c r="C36" i="5"/>
  <c r="M10" i="16"/>
  <c r="M6" i="16"/>
  <c r="M7" i="16"/>
  <c r="G35" i="4"/>
  <c r="C35" i="4"/>
  <c r="D35" i="4"/>
  <c r="E35" i="4"/>
  <c r="I35" i="4"/>
  <c r="H35" i="4"/>
  <c r="F35" i="4"/>
  <c r="U24" i="12" l="1"/>
  <c r="B22" i="2"/>
  <c r="U16" i="5"/>
  <c r="U18" i="5"/>
  <c r="U24" i="5"/>
  <c r="U32" i="5"/>
  <c r="U9" i="5"/>
  <c r="U14" i="5"/>
  <c r="U22" i="5"/>
  <c r="U30" i="5"/>
  <c r="U11" i="5"/>
  <c r="U19" i="5"/>
  <c r="U6" i="6"/>
  <c r="U7" i="6"/>
  <c r="U11" i="6"/>
  <c r="U12" i="6"/>
  <c r="U15" i="6"/>
  <c r="U17" i="6"/>
  <c r="U19" i="6"/>
  <c r="U20" i="6"/>
  <c r="U23" i="6"/>
  <c r="U28" i="6"/>
  <c r="U31" i="6"/>
  <c r="U8" i="6"/>
  <c r="U13" i="6"/>
  <c r="U16" i="6"/>
  <c r="U21" i="6"/>
  <c r="U24" i="6"/>
  <c r="U29" i="6"/>
  <c r="U6" i="8"/>
  <c r="U17" i="8"/>
  <c r="U25" i="8"/>
  <c r="U33" i="8"/>
  <c r="U18" i="8"/>
  <c r="U10" i="7"/>
  <c r="U18" i="7"/>
  <c r="U8" i="7"/>
  <c r="U7" i="7"/>
  <c r="U15" i="7"/>
  <c r="U23" i="7"/>
  <c r="U16" i="7"/>
  <c r="U24" i="7"/>
  <c r="U32" i="7"/>
  <c r="U10" i="9"/>
  <c r="U32" i="9"/>
  <c r="U18" i="9"/>
  <c r="U26" i="9"/>
  <c r="U34" i="9"/>
  <c r="U18" i="10"/>
  <c r="U10" i="11"/>
  <c r="U13" i="11"/>
  <c r="U20" i="11"/>
  <c r="U26" i="11"/>
  <c r="U28" i="11"/>
  <c r="U34" i="11"/>
  <c r="U8" i="12"/>
  <c r="U18" i="12"/>
  <c r="U26" i="12"/>
  <c r="U11" i="12"/>
  <c r="U19" i="12"/>
  <c r="U27" i="12"/>
  <c r="U5" i="12"/>
  <c r="U10" i="12"/>
  <c r="U13" i="12"/>
  <c r="U16" i="12"/>
  <c r="U21" i="12"/>
  <c r="U29" i="12"/>
  <c r="U32" i="12"/>
  <c r="U34" i="12"/>
  <c r="U7" i="13"/>
  <c r="U15" i="13"/>
  <c r="U18" i="13"/>
  <c r="X3" i="14"/>
  <c r="X12" i="14" s="1"/>
  <c r="X21" i="14" s="1"/>
  <c r="C7" i="16"/>
  <c r="U4" i="5"/>
  <c r="U10" i="5"/>
  <c r="U26" i="5"/>
  <c r="U34" i="5"/>
  <c r="U27" i="5"/>
  <c r="U4" i="6"/>
  <c r="U9" i="6"/>
  <c r="U10" i="6"/>
  <c r="U14" i="6"/>
  <c r="U18" i="6"/>
  <c r="U22" i="6"/>
  <c r="U30" i="6"/>
  <c r="U34" i="6"/>
  <c r="U5" i="8"/>
  <c r="U13" i="8"/>
  <c r="U21" i="8"/>
  <c r="U29" i="8"/>
  <c r="U7" i="8"/>
  <c r="U15" i="8"/>
  <c r="U23" i="8"/>
  <c r="U31" i="8"/>
  <c r="U31" i="7"/>
  <c r="U11" i="9"/>
  <c r="U16" i="9"/>
  <c r="U24" i="9"/>
  <c r="U10" i="10"/>
  <c r="U34" i="10"/>
  <c r="U4" i="10"/>
  <c r="U6" i="10"/>
  <c r="U7" i="10"/>
  <c r="U9" i="10"/>
  <c r="U11" i="10"/>
  <c r="U12" i="10"/>
  <c r="U14" i="10"/>
  <c r="U15" i="10"/>
  <c r="U17" i="10"/>
  <c r="U19" i="10"/>
  <c r="U20" i="10"/>
  <c r="U22" i="10"/>
  <c r="U23" i="10"/>
  <c r="U25" i="10"/>
  <c r="U27" i="10"/>
  <c r="U28" i="10"/>
  <c r="U30" i="10"/>
  <c r="U31" i="10"/>
  <c r="U33" i="10"/>
  <c r="U5" i="10"/>
  <c r="U13" i="10"/>
  <c r="U21" i="10"/>
  <c r="U29" i="10"/>
  <c r="U8" i="11"/>
  <c r="U11" i="11"/>
  <c r="U18" i="11"/>
  <c r="U4" i="12"/>
  <c r="U9" i="12"/>
  <c r="U12" i="12"/>
  <c r="U14" i="12"/>
  <c r="U15" i="12"/>
  <c r="U17" i="12"/>
  <c r="U20" i="12"/>
  <c r="U22" i="12"/>
  <c r="U23" i="12"/>
  <c r="U25" i="12"/>
  <c r="U28" i="12"/>
  <c r="U30" i="12"/>
  <c r="U31" i="12"/>
  <c r="U33" i="12"/>
  <c r="U7" i="12"/>
  <c r="U6" i="12"/>
  <c r="U28" i="13"/>
  <c r="U34" i="13"/>
  <c r="U29" i="13"/>
  <c r="U8" i="13"/>
  <c r="U11" i="13"/>
  <c r="U19" i="13"/>
  <c r="U12" i="13"/>
  <c r="U20" i="13"/>
  <c r="U27" i="13"/>
  <c r="U5" i="13"/>
  <c r="U13" i="13"/>
  <c r="U21" i="13"/>
  <c r="U23" i="13"/>
  <c r="U26" i="13"/>
  <c r="U31" i="13"/>
  <c r="C6" i="16"/>
  <c r="Y8" i="4"/>
  <c r="C11" i="16"/>
  <c r="Y10" i="4"/>
  <c r="C14" i="16"/>
  <c r="Y14" i="4"/>
  <c r="Y24" i="4" s="1"/>
  <c r="E16" i="2"/>
  <c r="AB4" i="5"/>
  <c r="M8" i="16"/>
  <c r="AB4" i="6"/>
  <c r="E15" i="2"/>
  <c r="L27" i="16"/>
  <c r="E14" i="2"/>
  <c r="AB4" i="8"/>
  <c r="E13" i="2"/>
  <c r="AB4" i="7"/>
  <c r="AB4" i="9"/>
  <c r="E12" i="2"/>
  <c r="E11" i="2"/>
  <c r="AB4" i="10"/>
  <c r="E10" i="2"/>
  <c r="AB4" i="11"/>
  <c r="AB4" i="12"/>
  <c r="E9" i="2"/>
  <c r="AB4" i="13"/>
  <c r="X3" i="4"/>
  <c r="Y3" i="4" s="1"/>
  <c r="X24" i="4"/>
  <c r="C27" i="16" s="1"/>
  <c r="U7" i="5"/>
  <c r="U12" i="5"/>
  <c r="U17" i="5"/>
  <c r="U20" i="5"/>
  <c r="U23" i="5"/>
  <c r="U28" i="5"/>
  <c r="U33" i="5"/>
  <c r="M4" i="16"/>
  <c r="U25" i="5"/>
  <c r="U31" i="5"/>
  <c r="U5" i="5"/>
  <c r="U8" i="5"/>
  <c r="U13" i="5"/>
  <c r="U21" i="5"/>
  <c r="U29" i="5"/>
  <c r="U6" i="5"/>
  <c r="U15" i="5"/>
  <c r="U25" i="6"/>
  <c r="U27" i="6"/>
  <c r="U33" i="6"/>
  <c r="U4" i="8"/>
  <c r="U9" i="8"/>
  <c r="U11" i="8"/>
  <c r="U12" i="8"/>
  <c r="U14" i="8"/>
  <c r="U19" i="8"/>
  <c r="U20" i="8"/>
  <c r="U22" i="8"/>
  <c r="U27" i="8"/>
  <c r="U28" i="8"/>
  <c r="U30" i="8"/>
  <c r="K27" i="16"/>
  <c r="U4" i="7"/>
  <c r="U6" i="7"/>
  <c r="U9" i="7"/>
  <c r="U11" i="7"/>
  <c r="U12" i="7"/>
  <c r="U14" i="7"/>
  <c r="U17" i="7"/>
  <c r="U19" i="7"/>
  <c r="U20" i="7"/>
  <c r="U22" i="7"/>
  <c r="U25" i="7"/>
  <c r="U27" i="7"/>
  <c r="U28" i="7"/>
  <c r="U30" i="7"/>
  <c r="U33" i="7"/>
  <c r="U4" i="9"/>
  <c r="U6" i="9"/>
  <c r="U7" i="9"/>
  <c r="U9" i="9"/>
  <c r="U12" i="9"/>
  <c r="U14" i="9"/>
  <c r="U15" i="9"/>
  <c r="U17" i="9"/>
  <c r="U19" i="9"/>
  <c r="U20" i="9"/>
  <c r="U22" i="9"/>
  <c r="U23" i="9"/>
  <c r="U25" i="9"/>
  <c r="U28" i="9"/>
  <c r="U30" i="9"/>
  <c r="U31" i="9"/>
  <c r="U33" i="9"/>
  <c r="U5" i="9"/>
  <c r="U8" i="9"/>
  <c r="U13" i="9"/>
  <c r="U21" i="9"/>
  <c r="U27" i="9"/>
  <c r="U29" i="9"/>
  <c r="U8" i="10"/>
  <c r="U16" i="10"/>
  <c r="U24" i="10"/>
  <c r="U32" i="10"/>
  <c r="U4" i="11"/>
  <c r="U6" i="11"/>
  <c r="U7" i="11"/>
  <c r="U9" i="11"/>
  <c r="U12" i="11"/>
  <c r="U14" i="11"/>
  <c r="U15" i="11"/>
  <c r="U17" i="11"/>
  <c r="U19" i="11"/>
  <c r="U22" i="11"/>
  <c r="U23" i="11"/>
  <c r="U25" i="11"/>
  <c r="U27" i="11"/>
  <c r="U30" i="11"/>
  <c r="U31" i="11"/>
  <c r="U33" i="11"/>
  <c r="U5" i="11"/>
  <c r="U16" i="11"/>
  <c r="U21" i="11"/>
  <c r="U24" i="11"/>
  <c r="U29" i="11"/>
  <c r="U32" i="11"/>
  <c r="U4" i="13"/>
  <c r="U10" i="13"/>
  <c r="U9" i="13"/>
  <c r="U17" i="13"/>
  <c r="U25" i="13"/>
  <c r="U33" i="13"/>
  <c r="U6" i="13"/>
  <c r="U14" i="13"/>
  <c r="U22" i="13"/>
  <c r="U30" i="13"/>
  <c r="U16" i="13"/>
  <c r="U24" i="13"/>
  <c r="U32" i="13"/>
  <c r="D27" i="16"/>
  <c r="U4" i="4"/>
  <c r="U11" i="4"/>
  <c r="U30" i="4"/>
  <c r="U6" i="4"/>
  <c r="U32" i="4"/>
  <c r="U8" i="4"/>
  <c r="U20" i="4"/>
  <c r="U27" i="4"/>
  <c r="C19" i="16"/>
  <c r="C8" i="16"/>
  <c r="U17" i="4"/>
  <c r="U24" i="4"/>
  <c r="U12" i="4"/>
  <c r="U19" i="4"/>
  <c r="U31" i="4"/>
  <c r="U14" i="4"/>
  <c r="U5" i="4"/>
  <c r="U21" i="4"/>
  <c r="U9" i="4"/>
  <c r="L4" i="16"/>
  <c r="K4" i="16"/>
  <c r="J4" i="16"/>
  <c r="J14" i="16"/>
  <c r="I4" i="16"/>
  <c r="H4" i="16"/>
  <c r="F4" i="16"/>
  <c r="G4" i="16"/>
  <c r="E4" i="16"/>
  <c r="E27" i="16"/>
  <c r="F27" i="16"/>
  <c r="G27" i="16"/>
  <c r="H27" i="16"/>
  <c r="I27" i="16"/>
  <c r="J27" i="16"/>
  <c r="M27" i="16"/>
  <c r="C10" i="16"/>
  <c r="U16" i="4"/>
  <c r="U33" i="4"/>
  <c r="U22" i="4"/>
  <c r="U25" i="4"/>
  <c r="U28" i="4"/>
  <c r="H36" i="3"/>
  <c r="D36" i="3"/>
  <c r="E36" i="3"/>
  <c r="G36" i="3"/>
  <c r="I36" i="3"/>
  <c r="C36" i="3"/>
  <c r="X19" i="14" l="1"/>
  <c r="R11" i="14" s="1"/>
  <c r="U11" i="14" s="1"/>
  <c r="D22" i="16"/>
  <c r="D4" i="16"/>
  <c r="AA4" i="14"/>
  <c r="AB4" i="14" s="1"/>
  <c r="E7" i="2"/>
  <c r="F7" i="2" s="1"/>
  <c r="U15" i="4"/>
  <c r="C4" i="16"/>
  <c r="X12" i="4"/>
  <c r="X21" i="4" s="1"/>
  <c r="E6" i="2"/>
  <c r="F6" i="2" s="1"/>
  <c r="AA4" i="4"/>
  <c r="AB4" i="4" s="1"/>
  <c r="U23" i="4"/>
  <c r="U18" i="4"/>
  <c r="U26" i="4"/>
  <c r="U7" i="4"/>
  <c r="U10" i="4"/>
  <c r="U29" i="4"/>
  <c r="U13" i="4"/>
  <c r="M13" i="16"/>
  <c r="M24" i="16" s="1"/>
  <c r="L13" i="16"/>
  <c r="L29" i="16" s="1"/>
  <c r="K13" i="16"/>
  <c r="K29" i="16" s="1"/>
  <c r="J13" i="16"/>
  <c r="J29" i="16" s="1"/>
  <c r="I13" i="16"/>
  <c r="I24" i="16" s="1"/>
  <c r="H13" i="16"/>
  <c r="H24" i="16" s="1"/>
  <c r="G13" i="16"/>
  <c r="G29" i="16" s="1"/>
  <c r="F13" i="16"/>
  <c r="F11" i="16"/>
  <c r="E13" i="16"/>
  <c r="E29" i="16" s="1"/>
  <c r="D13" i="16"/>
  <c r="B6" i="16"/>
  <c r="B14" i="16"/>
  <c r="U5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6" i="3"/>
  <c r="U4" i="3"/>
  <c r="U7" i="3"/>
  <c r="U9" i="3"/>
  <c r="U8" i="3"/>
  <c r="F36" i="3"/>
  <c r="U10" i="3"/>
  <c r="B8" i="16"/>
  <c r="B37" i="16" s="1"/>
  <c r="M29" i="16" l="1"/>
  <c r="R26" i="14"/>
  <c r="U26" i="14" s="1"/>
  <c r="R32" i="14"/>
  <c r="U32" i="14" s="1"/>
  <c r="R25" i="14"/>
  <c r="U25" i="14" s="1"/>
  <c r="R9" i="14"/>
  <c r="U9" i="14" s="1"/>
  <c r="R18" i="14"/>
  <c r="U18" i="14" s="1"/>
  <c r="R8" i="14"/>
  <c r="U8" i="14" s="1"/>
  <c r="R31" i="14"/>
  <c r="U31" i="14" s="1"/>
  <c r="R20" i="14"/>
  <c r="U20" i="14" s="1"/>
  <c r="R34" i="14"/>
  <c r="U34" i="14" s="1"/>
  <c r="R28" i="14"/>
  <c r="U28" i="14" s="1"/>
  <c r="X22" i="14"/>
  <c r="X27" i="14" s="1"/>
  <c r="D31" i="16" s="1"/>
  <c r="R7" i="14"/>
  <c r="U7" i="14" s="1"/>
  <c r="R10" i="14"/>
  <c r="U10" i="14" s="1"/>
  <c r="R29" i="14"/>
  <c r="U29" i="14" s="1"/>
  <c r="R33" i="14"/>
  <c r="U33" i="14" s="1"/>
  <c r="R15" i="14"/>
  <c r="U15" i="14" s="1"/>
  <c r="R13" i="14"/>
  <c r="U13" i="14" s="1"/>
  <c r="R6" i="14"/>
  <c r="U6" i="14" s="1"/>
  <c r="R19" i="14"/>
  <c r="U19" i="14" s="1"/>
  <c r="R16" i="14"/>
  <c r="U16" i="14" s="1"/>
  <c r="R17" i="14"/>
  <c r="U17" i="14" s="1"/>
  <c r="D20" i="16"/>
  <c r="D24" i="16" s="1"/>
  <c r="R12" i="14"/>
  <c r="U12" i="14" s="1"/>
  <c r="R23" i="14"/>
  <c r="U23" i="14" s="1"/>
  <c r="AB6" i="14"/>
  <c r="R24" i="14"/>
  <c r="U24" i="14" s="1"/>
  <c r="R21" i="14"/>
  <c r="U21" i="14" s="1"/>
  <c r="R30" i="14"/>
  <c r="U30" i="14" s="1"/>
  <c r="R14" i="14"/>
  <c r="U14" i="14" s="1"/>
  <c r="R22" i="14"/>
  <c r="U22" i="14" s="1"/>
  <c r="R27" i="14"/>
  <c r="U27" i="14" s="1"/>
  <c r="X19" i="4"/>
  <c r="C20" i="16" s="1"/>
  <c r="C22" i="16"/>
  <c r="F24" i="16"/>
  <c r="X28" i="14"/>
  <c r="D32" i="16" s="1"/>
  <c r="X3" i="3"/>
  <c r="B4" i="16" s="1"/>
  <c r="K24" i="16"/>
  <c r="E24" i="16"/>
  <c r="F29" i="16"/>
  <c r="J24" i="16"/>
  <c r="G24" i="16"/>
  <c r="Y12" i="4"/>
  <c r="Y21" i="4" s="1"/>
  <c r="Y19" i="4" s="1"/>
  <c r="Y22" i="4" s="1"/>
  <c r="H29" i="16"/>
  <c r="I29" i="16"/>
  <c r="D29" i="16"/>
  <c r="L24" i="16"/>
  <c r="C13" i="16"/>
  <c r="C29" i="16" s="1"/>
  <c r="B10" i="16"/>
  <c r="B11" i="16"/>
  <c r="B38" i="16" s="1"/>
  <c r="B7" i="16"/>
  <c r="B40" i="16" s="1"/>
  <c r="B27" i="16"/>
  <c r="X22" i="4" l="1"/>
  <c r="X28" i="4" s="1"/>
  <c r="C32" i="16" s="1"/>
  <c r="X21" i="3"/>
  <c r="AA4" i="3"/>
  <c r="AB4" i="3" s="1"/>
  <c r="Y28" i="4"/>
  <c r="Y27" i="4"/>
  <c r="Y3" i="3"/>
  <c r="E5" i="2"/>
  <c r="C24" i="16"/>
  <c r="B36" i="16"/>
  <c r="B13" i="16"/>
  <c r="B42" i="16" s="1"/>
  <c r="B22" i="16" l="1"/>
  <c r="X19" i="3"/>
  <c r="X27" i="4"/>
  <c r="C31" i="16" s="1"/>
  <c r="F5" i="2"/>
  <c r="E19" i="2"/>
  <c r="F19" i="2" s="1"/>
  <c r="Y21" i="3"/>
  <c r="Y28" i="3" s="1"/>
  <c r="X27" i="3"/>
  <c r="B31" i="16" s="1"/>
  <c r="X28" i="3"/>
  <c r="B32" i="16" s="1"/>
  <c r="B29" i="16"/>
  <c r="AB6" i="4"/>
  <c r="Y27" i="3" l="1"/>
  <c r="B20" i="16"/>
  <c r="Y19" i="3"/>
  <c r="Y22" i="3" s="1"/>
  <c r="X22" i="3"/>
  <c r="AB6" i="3"/>
  <c r="B23" i="2"/>
  <c r="B24" i="2" s="1"/>
  <c r="B43" i="16"/>
  <c r="B41" i="16" l="1"/>
  <c r="B24" i="16"/>
  <c r="B25" i="16" s="1"/>
</calcChain>
</file>

<file path=xl/sharedStrings.xml><?xml version="1.0" encoding="utf-8"?>
<sst xmlns="http://schemas.openxmlformats.org/spreadsheetml/2006/main" count="718" uniqueCount="97">
  <si>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</si>
  <si>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</si>
  <si>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</si>
  <si>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</si>
  <si>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</si>
  <si>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</si>
  <si>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</si>
  <si>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</si>
  <si>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</si>
  <si>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</si>
  <si>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</si>
  <si>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</si>
  <si>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2025/2026</t>
  </si>
  <si>
    <t>Mês</t>
  </si>
  <si>
    <t>Faturamento (R$)</t>
  </si>
  <si>
    <t>Crescimento</t>
  </si>
  <si>
    <t>% Atingido Relação ao Ano Anterior</t>
  </si>
  <si>
    <t>Faturamento</t>
  </si>
  <si>
    <t>Meta 2026</t>
  </si>
  <si>
    <t>Atingido até o momento</t>
  </si>
  <si>
    <t>% Atingido da Meta</t>
  </si>
  <si>
    <t>Dia</t>
  </si>
  <si>
    <t>Armazenagem</t>
  </si>
  <si>
    <t>Mercado Livre</t>
  </si>
  <si>
    <t>Magalu</t>
  </si>
  <si>
    <t>Casas Bahia</t>
  </si>
  <si>
    <t>Amazon</t>
  </si>
  <si>
    <t>Shopee</t>
  </si>
  <si>
    <t>TikTok</t>
  </si>
  <si>
    <t>Presencial</t>
  </si>
  <si>
    <t>Ticket Médio</t>
  </si>
  <si>
    <t>Ads</t>
  </si>
  <si>
    <t>Custo</t>
  </si>
  <si>
    <t>Tarifa</t>
  </si>
  <si>
    <t>Salário</t>
  </si>
  <si>
    <t>Contabilidade</t>
  </si>
  <si>
    <t>ERP</t>
  </si>
  <si>
    <t>INSS</t>
  </si>
  <si>
    <t>Outras Taxas</t>
  </si>
  <si>
    <t>Lucro Real do dia</t>
  </si>
  <si>
    <t>Aliquota de Imposto</t>
  </si>
  <si>
    <t>ticket médio mensal</t>
  </si>
  <si>
    <t>ERP Mensal</t>
  </si>
  <si>
    <t>Lucro Bruto</t>
  </si>
  <si>
    <t>Fatura Mercado Livre</t>
  </si>
  <si>
    <t>DLR - Sócio</t>
  </si>
  <si>
    <t>Reinvestimento - Empresa</t>
  </si>
  <si>
    <t>Total</t>
  </si>
  <si>
    <t>Controle Mensal - Janeiro 2026</t>
  </si>
  <si>
    <t>Previsto</t>
  </si>
  <si>
    <t>Real</t>
  </si>
  <si>
    <t>Total Gasto em armazenagem</t>
  </si>
  <si>
    <t>Ads Mercado Livre</t>
  </si>
  <si>
    <t>Ads Outras Plataformas avulsas</t>
  </si>
  <si>
    <t>Custo com Produtos</t>
  </si>
  <si>
    <t>Tarifas Marketplaces</t>
  </si>
  <si>
    <t>Imposto - DAS</t>
  </si>
  <si>
    <t>Página Oficial Mercado Livre</t>
  </si>
  <si>
    <t>Empréstimo</t>
  </si>
  <si>
    <t>Controle Mensal - Fevereiro 2026</t>
  </si>
  <si>
    <t>Controle Mensal - Março 2026</t>
  </si>
  <si>
    <t>Controle Mensal -  Abril 2026</t>
  </si>
  <si>
    <t>Controle Mensal - Maio 2026</t>
  </si>
  <si>
    <t>Controle Mensal - Junho 2026</t>
  </si>
  <si>
    <t>Controle Mensal - Julho 2026</t>
  </si>
  <si>
    <t>Controle Mensal - Agosto 2026</t>
  </si>
  <si>
    <t>Controle Mensal - Setembro 2026</t>
  </si>
  <si>
    <t>Controle Mensal - Outubro 2026</t>
  </si>
  <si>
    <t>Controle Mensal - Novembro 2026</t>
  </si>
  <si>
    <t>Controle Mensal - Dezembro 2026</t>
  </si>
  <si>
    <t>Pró Labore + Previdência</t>
  </si>
  <si>
    <t>Células que estão com formulas e não devem ser alteradas</t>
  </si>
  <si>
    <t>Células que devem ser imputados os valores manualmente</t>
  </si>
  <si>
    <t>% DLR do Sócio</t>
  </si>
  <si>
    <t>Objetivo</t>
  </si>
  <si>
    <t>ROAS Atual</t>
  </si>
  <si>
    <t>Publicidade</t>
  </si>
  <si>
    <t>Despesas Fixas</t>
  </si>
  <si>
    <t>Lucro</t>
  </si>
  <si>
    <t>Fechamento anual</t>
  </si>
  <si>
    <t>Objetivo em relação ao a.a</t>
  </si>
  <si>
    <t>Demosntrativo de Faturamento (Valores com formulas - não alterar)</t>
  </si>
  <si>
    <t>Faturamento de Anos Anteriores (Alterar somente células em branco) - Células em laranja são formulas</t>
  </si>
  <si>
    <t>Impostos DAS</t>
  </si>
  <si>
    <t>Reenvestimento na empresa</t>
  </si>
  <si>
    <t xml:space="preserve"> </t>
  </si>
  <si>
    <t>Break-Even Point</t>
  </si>
  <si>
    <t>Margem de Contribuição</t>
  </si>
  <si>
    <t>Break-Even Point - Mensal</t>
  </si>
  <si>
    <t>Break-Even Point - Média</t>
  </si>
  <si>
    <t>Pró Labore</t>
  </si>
  <si>
    <t>Previdência Privada</t>
  </si>
  <si>
    <t>Lucro Liquido</t>
  </si>
  <si>
    <t>DLR do Sócio</t>
  </si>
  <si>
    <t>Frete</t>
  </si>
  <si>
    <t xml:space="preserve">Armazenamento </t>
  </si>
  <si>
    <t>Tarifa Market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</si>
</sst>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;[Red]&quot;R$&quot;\ #,##0.00"/>
    <numFmt numFmtId="165" formatCode="&quot;R$&quot;\ #,##0.00"/>
  </numFmts>
  <fonts count="14" x14ac:knownFonts="1">
    <font>
      <sz val="11"/>
      <color indexed="8"/>
      <name val="Calibri"/>
      <family val="2"/>
      <scheme val="minor"/>
    </font>
    <font>
      <sz val="11"/>
      <name val="Arial"/>
      <family val="2"/>
    </font>
    <font>
      <b/>
      <sz val="11"/>
      <color indexed="8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8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24BCCC"/>
        <bgColor indexed="64"/>
      </patternFill>
    </fill>
    <fill>
      <patternFill patternType="solid">
        <fgColor rgb="FFFFCC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41">
    <xf numFmtId="0" fontId="0" fillId="0" borderId="0" xfId="0"/>
    <xf numFmtId="164" fontId="0" fillId="0" borderId="0" xfId="0" applyNumberFormat="1"/>
    <xf numFmtId="164" fontId="0" fillId="6" borderId="1" xfId="0" applyNumberFormat="1" applyFill="1" applyBorder="1"/>
    <xf numFmtId="164" fontId="3" fillId="0" borderId="1" xfId="0" applyNumberFormat="1" applyFont="1" applyBorder="1"/>
    <xf numFmtId="164" fontId="1" fillId="2" borderId="1" xfId="0" applyNumberFormat="1" applyFont="1" applyFill="1" applyBorder="1" applyAlignment="1">
      <alignment horizontal="right"/>
    </xf>
    <xf numFmtId="164" fontId="3" fillId="0" borderId="1" xfId="0" applyNumberFormat="1" applyFont="1" applyBorder="1" applyAlignment="1"/>
    <xf numFmtId="0" fontId="0" fillId="0" borderId="0" xfId="0"/>
    <xf numFmtId="164" fontId="4" fillId="3" borderId="1" xfId="0" applyNumberFormat="1" applyFont="1" applyFill="1" applyBorder="1"/>
    <xf numFmtId="0" fontId="4" fillId="3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0" fontId="2" fillId="7" borderId="1" xfId="0" applyFont="1" applyFill="1" applyBorder="1"/>
    <xf numFmtId="164" fontId="2" fillId="6" borderId="1" xfId="0" applyNumberFormat="1" applyFont="1" applyFill="1" applyBorder="1"/>
    <xf numFmtId="0" fontId="2" fillId="9" borderId="1" xfId="0" applyFont="1" applyFill="1" applyBorder="1"/>
    <xf numFmtId="164" fontId="0" fillId="10" borderId="1" xfId="0" applyNumberFormat="1" applyFill="1" applyBorder="1"/>
    <xf numFmtId="0" fontId="2" fillId="0" borderId="0" xfId="0" applyFont="1" applyAlignment="1">
      <alignment vertical="center" wrapText="1"/>
    </xf>
    <xf numFmtId="44" fontId="0" fillId="0" borderId="0" xfId="0" applyNumberFormat="1"/>
    <xf numFmtId="10" fontId="0" fillId="6" borderId="1" xfId="0" applyNumberFormat="1" applyFill="1" applyBorder="1"/>
    <xf numFmtId="164" fontId="2" fillId="0" borderId="0" xfId="0" applyNumberFormat="1" applyFont="1"/>
    <xf numFmtId="164" fontId="3" fillId="2" borderId="1" xfId="0" applyNumberFormat="1" applyFont="1" applyFill="1" applyBorder="1"/>
    <xf numFmtId="0" fontId="3" fillId="0" borderId="2" xfId="0" applyFont="1" applyBorder="1"/>
    <xf numFmtId="164" fontId="2" fillId="11" borderId="1" xfId="0" applyNumberFormat="1" applyFont="1" applyFill="1" applyBorder="1"/>
    <xf numFmtId="164" fontId="3" fillId="0" borderId="1" xfId="0" applyNumberFormat="1" applyFont="1" applyBorder="1" applyAlignment="1">
      <alignment wrapText="1"/>
    </xf>
    <xf numFmtId="0" fontId="3" fillId="11" borderId="1" xfId="0" applyFont="1" applyFill="1" applyBorder="1"/>
    <xf numFmtId="0" fontId="8" fillId="0" borderId="0" xfId="0" applyFont="1" applyAlignment="1">
      <alignment vertical="center" wrapText="1"/>
    </xf>
    <xf numFmtId="165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165" fontId="9" fillId="0" borderId="0" xfId="0" applyNumberFormat="1" applyFont="1" applyAlignment="1">
      <alignment vertical="center" wrapText="1"/>
    </xf>
    <xf numFmtId="0" fontId="2" fillId="12" borderId="3" xfId="0" applyFont="1" applyFill="1" applyBorder="1"/>
    <xf numFmtId="0" fontId="2" fillId="11" borderId="3" xfId="0" applyFont="1" applyFill="1" applyBorder="1" applyAlignment="1">
      <alignment horizontal="right" vertical="center" wrapText="1"/>
    </xf>
    <xf numFmtId="0" fontId="2" fillId="8" borderId="3" xfId="0" applyFont="1" applyFill="1" applyBorder="1"/>
    <xf numFmtId="0" fontId="2" fillId="4" borderId="8" xfId="0" applyFont="1" applyFill="1" applyBorder="1"/>
    <xf numFmtId="164" fontId="0" fillId="6" borderId="9" xfId="0" applyNumberFormat="1" applyFill="1" applyBorder="1"/>
    <xf numFmtId="10" fontId="0" fillId="6" borderId="9" xfId="0" applyNumberFormat="1" applyFill="1" applyBorder="1"/>
    <xf numFmtId="164" fontId="0" fillId="5" borderId="12" xfId="0" applyNumberFormat="1" applyFill="1" applyBorder="1"/>
    <xf numFmtId="164" fontId="0" fillId="14" borderId="1" xfId="0" applyNumberFormat="1" applyFill="1" applyBorder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164" fontId="0" fillId="14" borderId="18" xfId="0" applyNumberFormat="1" applyFill="1" applyBorder="1"/>
    <xf numFmtId="164" fontId="0" fillId="6" borderId="19" xfId="0" applyNumberFormat="1" applyFill="1" applyBorder="1"/>
    <xf numFmtId="164" fontId="2" fillId="14" borderId="1" xfId="0" applyNumberFormat="1" applyFont="1" applyFill="1" applyBorder="1"/>
    <xf numFmtId="0" fontId="0" fillId="0" borderId="17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2" fillId="4" borderId="13" xfId="0" applyFont="1" applyFill="1" applyBorder="1"/>
    <xf numFmtId="9" fontId="0" fillId="0" borderId="15" xfId="1" applyFont="1" applyBorder="1"/>
    <xf numFmtId="9" fontId="0" fillId="0" borderId="12" xfId="1" applyFont="1" applyBorder="1"/>
    <xf numFmtId="0" fontId="2" fillId="4" borderId="20" xfId="0" applyFont="1" applyFill="1" applyBorder="1"/>
    <xf numFmtId="0" fontId="2" fillId="5" borderId="21" xfId="0" applyFont="1" applyFill="1" applyBorder="1"/>
    <xf numFmtId="164" fontId="0" fillId="14" borderId="8" xfId="0" applyNumberFormat="1" applyFill="1" applyBorder="1"/>
    <xf numFmtId="164" fontId="0" fillId="13" borderId="9" xfId="0" applyNumberFormat="1" applyFill="1" applyBorder="1"/>
    <xf numFmtId="10" fontId="0" fillId="6" borderId="8" xfId="0" applyNumberFormat="1" applyFill="1" applyBorder="1"/>
    <xf numFmtId="10" fontId="0" fillId="13" borderId="9" xfId="0" applyNumberFormat="1" applyFill="1" applyBorder="1"/>
    <xf numFmtId="164" fontId="0" fillId="6" borderId="8" xfId="0" applyNumberFormat="1" applyFill="1" applyBorder="1"/>
    <xf numFmtId="164" fontId="0" fillId="5" borderId="10" xfId="0" applyNumberFormat="1" applyFill="1" applyBorder="1"/>
    <xf numFmtId="2" fontId="0" fillId="0" borderId="0" xfId="0" applyNumberFormat="1"/>
    <xf numFmtId="2" fontId="0" fillId="0" borderId="1" xfId="0" applyNumberFormat="1" applyBorder="1"/>
    <xf numFmtId="0" fontId="0" fillId="0" borderId="1" xfId="0" applyBorder="1"/>
    <xf numFmtId="0" fontId="2" fillId="11" borderId="1" xfId="0" applyFont="1" applyFill="1" applyBorder="1"/>
    <xf numFmtId="164" fontId="0" fillId="0" borderId="0" xfId="1" applyNumberFormat="1" applyFont="1"/>
    <xf numFmtId="0" fontId="0" fillId="15" borderId="5" xfId="0" applyFill="1" applyBorder="1"/>
    <xf numFmtId="164" fontId="2" fillId="15" borderId="13" xfId="0" applyNumberFormat="1" applyFont="1" applyFill="1" applyBorder="1"/>
    <xf numFmtId="0" fontId="2" fillId="15" borderId="15" xfId="0" applyFont="1" applyFill="1" applyBorder="1"/>
    <xf numFmtId="0" fontId="2" fillId="4" borderId="1" xfId="0" applyFont="1" applyFill="1" applyBorder="1"/>
    <xf numFmtId="164" fontId="0" fillId="0" borderId="1" xfId="0" applyNumberFormat="1" applyBorder="1"/>
    <xf numFmtId="9" fontId="0" fillId="0" borderId="1" xfId="1" applyFont="1" applyBorder="1"/>
    <xf numFmtId="0" fontId="2" fillId="16" borderId="1" xfId="0" applyFont="1" applyFill="1" applyBorder="1"/>
    <xf numFmtId="0" fontId="2" fillId="16" borderId="4" xfId="0" applyFont="1" applyFill="1" applyBorder="1"/>
    <xf numFmtId="0" fontId="2" fillId="16" borderId="3" xfId="0" applyFont="1" applyFill="1" applyBorder="1"/>
    <xf numFmtId="165" fontId="0" fillId="17" borderId="3" xfId="0" applyNumberFormat="1" applyFont="1" applyFill="1" applyBorder="1" applyAlignment="1">
      <alignment horizontal="right" vertical="center" wrapText="1"/>
    </xf>
    <xf numFmtId="10" fontId="0" fillId="17" borderId="3" xfId="0" applyNumberFormat="1" applyFill="1" applyBorder="1"/>
    <xf numFmtId="165" fontId="2" fillId="17" borderId="3" xfId="0" applyNumberFormat="1" applyFont="1" applyFill="1" applyBorder="1"/>
    <xf numFmtId="10" fontId="2" fillId="17" borderId="4" xfId="0" applyNumberFormat="1" applyFont="1" applyFill="1" applyBorder="1"/>
    <xf numFmtId="0" fontId="2" fillId="10" borderId="3" xfId="0" applyFont="1" applyFill="1" applyBorder="1" applyAlignment="1">
      <alignment horizontal="center" wrapText="1"/>
    </xf>
    <xf numFmtId="165" fontId="0" fillId="17" borderId="1" xfId="0" applyNumberFormat="1" applyFill="1" applyBorder="1"/>
    <xf numFmtId="165" fontId="0" fillId="17" borderId="4" xfId="0" applyNumberFormat="1" applyFill="1" applyBorder="1"/>
    <xf numFmtId="0" fontId="0" fillId="4" borderId="5" xfId="0" applyFill="1" applyBorder="1"/>
    <xf numFmtId="0" fontId="0" fillId="0" borderId="26" xfId="0" applyBorder="1"/>
    <xf numFmtId="0" fontId="2" fillId="12" borderId="27" xfId="0" applyFont="1" applyFill="1" applyBorder="1"/>
    <xf numFmtId="0" fontId="2" fillId="11" borderId="26" xfId="0" applyFont="1" applyFill="1" applyBorder="1" applyAlignment="1">
      <alignment horizontal="center" vertical="center" wrapText="1"/>
    </xf>
    <xf numFmtId="0" fontId="2" fillId="11" borderId="27" xfId="0" applyFont="1" applyFill="1" applyBorder="1"/>
    <xf numFmtId="0" fontId="2" fillId="13" borderId="26" xfId="0" applyFont="1" applyFill="1" applyBorder="1" applyAlignment="1">
      <alignment vertical="center" wrapText="1"/>
    </xf>
    <xf numFmtId="10" fontId="0" fillId="17" borderId="27" xfId="0" applyNumberFormat="1" applyFill="1" applyBorder="1"/>
    <xf numFmtId="0" fontId="8" fillId="13" borderId="26" xfId="0" applyFont="1" applyFill="1" applyBorder="1" applyAlignment="1">
      <alignment vertical="center" wrapText="1"/>
    </xf>
    <xf numFmtId="0" fontId="8" fillId="13" borderId="28" xfId="0" applyFont="1" applyFill="1" applyBorder="1" applyAlignment="1">
      <alignment vertical="center" wrapText="1"/>
    </xf>
    <xf numFmtId="165" fontId="0" fillId="17" borderId="29" xfId="0" applyNumberFormat="1" applyFont="1" applyFill="1" applyBorder="1" applyAlignment="1">
      <alignment horizontal="right" vertical="center" wrapText="1"/>
    </xf>
    <xf numFmtId="164" fontId="3" fillId="17" borderId="1" xfId="0" applyNumberFormat="1" applyFont="1" applyFill="1" applyBorder="1"/>
    <xf numFmtId="164" fontId="0" fillId="17" borderId="18" xfId="0" applyNumberFormat="1" applyFill="1" applyBorder="1"/>
    <xf numFmtId="8" fontId="9" fillId="0" borderId="3" xfId="0" applyNumberFormat="1" applyFont="1" applyBorder="1" applyAlignment="1">
      <alignment vertical="center" wrapText="1"/>
    </xf>
    <xf numFmtId="8" fontId="9" fillId="0" borderId="3" xfId="0" applyNumberFormat="1" applyFont="1" applyBorder="1" applyAlignment="1">
      <alignment horizontal="right" vertical="center" wrapText="1"/>
    </xf>
    <xf numFmtId="8" fontId="9" fillId="0" borderId="3" xfId="0" applyNumberFormat="1" applyFont="1" applyBorder="1"/>
    <xf numFmtId="0" fontId="0" fillId="0" borderId="0" xfId="0" applyBorder="1" applyAlignment="1"/>
    <xf numFmtId="164" fontId="2" fillId="0" borderId="1" xfId="0" applyNumberFormat="1" applyFont="1" applyBorder="1"/>
    <xf numFmtId="2" fontId="2" fillId="7" borderId="1" xfId="0" applyNumberFormat="1" applyFont="1" applyFill="1" applyBorder="1"/>
    <xf numFmtId="164" fontId="2" fillId="18" borderId="1" xfId="0" applyNumberFormat="1" applyFont="1" applyFill="1" applyBorder="1"/>
    <xf numFmtId="0" fontId="2" fillId="8" borderId="1" xfId="0" applyFont="1" applyFill="1" applyBorder="1"/>
    <xf numFmtId="164" fontId="2" fillId="10" borderId="1" xfId="0" applyNumberFormat="1" applyFont="1" applyFill="1" applyBorder="1"/>
    <xf numFmtId="10" fontId="2" fillId="9" borderId="1" xfId="1" applyNumberFormat="1" applyFont="1" applyFill="1" applyBorder="1"/>
    <xf numFmtId="0" fontId="0" fillId="0" borderId="0" xfId="0" applyBorder="1"/>
    <xf numFmtId="0" fontId="2" fillId="17" borderId="1" xfId="0" applyFont="1" applyFill="1" applyBorder="1"/>
    <xf numFmtId="164" fontId="3" fillId="0" borderId="0" xfId="0" applyNumberFormat="1" applyFont="1" applyFill="1" applyBorder="1" applyAlignment="1"/>
    <xf numFmtId="164" fontId="12" fillId="0" borderId="1" xfId="0" applyNumberFormat="1" applyFont="1" applyBorder="1"/>
    <xf numFmtId="0" fontId="2" fillId="4" borderId="30" xfId="0" applyFont="1" applyFill="1" applyBorder="1"/>
    <xf numFmtId="164" fontId="0" fillId="6" borderId="2" xfId="0" applyNumberFormat="1" applyFill="1" applyBorder="1"/>
    <xf numFmtId="164" fontId="0" fillId="6" borderId="31" xfId="0" applyNumberFormat="1" applyFill="1" applyBorder="1"/>
    <xf numFmtId="164" fontId="0" fillId="14" borderId="32" xfId="0" applyNumberFormat="1" applyFill="1" applyBorder="1"/>
    <xf numFmtId="164" fontId="0" fillId="6" borderId="21" xfId="0" applyNumberFormat="1" applyFill="1" applyBorder="1"/>
    <xf numFmtId="164" fontId="0" fillId="0" borderId="0" xfId="0" applyNumberFormat="1" applyBorder="1" applyAlignment="1"/>
    <xf numFmtId="0" fontId="0" fillId="0" borderId="16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/>
    <xf numFmtId="0" fontId="0" fillId="0" borderId="14" xfId="0" applyBorder="1" applyAlignment="1"/>
    <xf numFmtId="0" fontId="0" fillId="0" borderId="15" xfId="0" applyBorder="1" applyAlignment="1"/>
    <xf numFmtId="164" fontId="0" fillId="14" borderId="33" xfId="0" applyNumberFormat="1" applyFill="1" applyBorder="1"/>
    <xf numFmtId="0" fontId="0" fillId="0" borderId="32" xfId="0" applyBorder="1" applyAlignment="1"/>
    <xf numFmtId="0" fontId="0" fillId="0" borderId="34" xfId="0" applyBorder="1" applyAlignment="1"/>
    <xf numFmtId="0" fontId="0" fillId="0" borderId="35" xfId="0" applyBorder="1" applyAlignment="1"/>
    <xf numFmtId="164" fontId="13" fillId="0" borderId="1" xfId="0" applyNumberFormat="1" applyFont="1" applyBorder="1"/>
    <xf numFmtId="0" fontId="2" fillId="5" borderId="1" xfId="0" applyFont="1" applyFill="1" applyBorder="1"/>
    <xf numFmtId="164" fontId="0" fillId="5" borderId="1" xfId="0" applyNumberFormat="1" applyFill="1" applyBorder="1"/>
    <xf numFmtId="0" fontId="2" fillId="15" borderId="1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1" fillId="3" borderId="22" xfId="0" applyFont="1" applyFill="1" applyBorder="1" applyAlignment="1">
      <alignment horizontal="center"/>
    </xf>
    <xf numFmtId="0" fontId="11" fillId="3" borderId="0" xfId="0" applyFont="1" applyFill="1" applyBorder="1" applyAlignment="1">
      <alignment horizontal="center"/>
    </xf>
    <xf numFmtId="164" fontId="2" fillId="19" borderId="1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164" fontId="0" fillId="20" borderId="8" xfId="0" applyNumberFormat="1" applyFill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FCC00"/>
      <color rgb="FF24BCCC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Demonstrativo de Lucro e 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CFA-4D1C-A18A-D37F96C2EC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CFA-4D1C-A18A-D37F96C2EC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CFA-4D1C-A18A-D37F96C2EC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3CFA-4D1C-A18A-D37F96C2EC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8028-4303-B2E1-70282FEB74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5471-40E2-957B-5DBF5B01AE9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5471-40E2-957B-5DBF5B01AE9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Demonstrativo!$A$37:$A$43</c:f>
              <c:strCache>
                <c:ptCount val="7"/>
                <c:pt idx="0">
                  <c:v>Publicidade</c:v>
                </c:pt>
                <c:pt idx="1">
                  <c:v>Tarifa Market Place</c:v>
                </c:pt>
                <c:pt idx="2">
                  <c:v>Frete</c:v>
                </c:pt>
                <c:pt idx="3">
                  <c:v>Armazenamento </c:v>
                </c:pt>
                <c:pt idx="4">
                  <c:v>Despesas Fixas</c:v>
                </c:pt>
                <c:pt idx="5">
                  <c:v>Impostos DAS</c:v>
                </c:pt>
                <c:pt idx="6">
                  <c:v>Lucro</c:v>
                </c:pt>
              </c:strCache>
            </c:strRef>
          </c:cat>
          <c:val>
            <c:numRef>
              <c:f>Demonstrativo!$B$37:$B$43</c:f>
              <c:numCache>
                <c:formatCode>"R$"\ #,##0.00;[Red]"R$"\ 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0-4617-B364-099FD59611F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Meta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31F-403B-83D7-CF7C6BFF2C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31F-403B-83D7-CF7C6BFF2C4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Faturamentos!$A$22:$A$23</c:f>
              <c:strCache>
                <c:ptCount val="2"/>
                <c:pt idx="0">
                  <c:v>Meta 2026</c:v>
                </c:pt>
                <c:pt idx="1">
                  <c:v>Atingido até o momento</c:v>
                </c:pt>
              </c:strCache>
            </c:strRef>
          </c:cat>
          <c:val>
            <c:numRef>
              <c:f>Faturamentos!$B$22:$B$23</c:f>
              <c:numCache>
                <c:formatCode>"R$"\ 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4-467B-B4A1-A364A242F73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666750</xdr:colOff>
      <xdr:row>33</xdr:row>
      <xdr:rowOff>147637</xdr:rowOff>
    </xdr:from>
    <xdr:to>
      <xdr:col>9</xdr:col>
      <xdr:colOff>238125</xdr:colOff>
      <xdr:row>51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E60E47-1844-45BA-B8A9-6F0505744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20</xdr:row>
      <xdr:rowOff>14287</xdr:rowOff>
    </xdr:from>
    <xdr:to>
      <xdr:col>5</xdr:col>
      <xdr:colOff>1438275</xdr:colOff>
      <xdr:row>34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9D5AA2-2C66-4FEF-B188-160457B1C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F5A5-7FAE-4E33-9981-02257B82DE7A}">
  <dimension ref="A1:M43"/>
  <sheetViews>
    <sheetView workbookViewId="0">
      <selection activeCell="B41" sqref="B41"/>
    </sheetView>
  </sheetViews>
  <sheetFormatPr defaultRowHeight="15" x14ac:dyDescent="0.25"/>
  <cols>
    <col min="1" max="1" width="29" bestFit="1" customWidth="1"/>
    <col min="2" max="2" width="12.7109375" bestFit="1" customWidth="1"/>
    <col min="3" max="4" width="11.7109375" bestFit="1" customWidth="1"/>
    <col min="5" max="13" width="10.7109375" bestFit="1" customWidth="1"/>
  </cols>
  <sheetData>
    <row r="1" spans="1:13" s="6" customFormat="1" x14ac:dyDescent="0.25">
      <c r="A1" s="128" t="s">
        <v>81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</row>
    <row r="2" spans="1:13" s="6" customFormat="1" ht="15.75" thickBot="1" x14ac:dyDescent="0.3">
      <c r="A2" s="129"/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</row>
    <row r="3" spans="1:13" s="6" customFormat="1" x14ac:dyDescent="0.25">
      <c r="A3" s="78"/>
      <c r="B3" s="60" t="s">
        <v>0</v>
      </c>
      <c r="C3" s="60" t="s">
        <v>1</v>
      </c>
      <c r="D3" s="60" t="s">
        <v>2</v>
      </c>
      <c r="E3" s="60" t="s">
        <v>3</v>
      </c>
      <c r="F3" s="60" t="s">
        <v>4</v>
      </c>
      <c r="G3" s="60" t="s">
        <v>5</v>
      </c>
      <c r="H3" s="60" t="s">
        <v>6</v>
      </c>
      <c r="I3" s="60" t="s">
        <v>7</v>
      </c>
      <c r="J3" s="60" t="s">
        <v>8</v>
      </c>
      <c r="K3" s="60" t="s">
        <v>9</v>
      </c>
      <c r="L3" s="60" t="s">
        <v>10</v>
      </c>
      <c r="M3" s="60" t="s">
        <v>11</v>
      </c>
    </row>
    <row r="4" spans="1:13" x14ac:dyDescent="0.25">
      <c r="A4" s="32" t="str">
        <f>'Dezembro 2026'!W3</f>
        <v>Faturamento</v>
      </c>
      <c r="B4" s="2">
        <f>Janeiro.2026!X3</f>
        <v>0</v>
      </c>
      <c r="C4" s="2">
        <f>'Fevereiro 2026'!X3</f>
        <v>0</v>
      </c>
      <c r="D4" s="2">
        <f>'Março 2026'!X3</f>
        <v>0</v>
      </c>
      <c r="E4" s="2">
        <f>'Abril 2026'!X3</f>
        <v>0</v>
      </c>
      <c r="F4" s="2">
        <f>'Maio 2026'!X3</f>
        <v>0</v>
      </c>
      <c r="G4" s="2">
        <f>'Junho 2026'!X3</f>
        <v>0</v>
      </c>
      <c r="H4" s="2">
        <f>'Julho 2026'!X3</f>
        <v>0</v>
      </c>
      <c r="I4" s="2">
        <f>'Agosto 2026'!X3</f>
        <v>0</v>
      </c>
      <c r="J4" s="2">
        <f>'Setembro 2026'!X3</f>
        <v>0</v>
      </c>
      <c r="K4" s="2">
        <f>'Outubro 2026'!X3</f>
        <v>0</v>
      </c>
      <c r="L4" s="2">
        <f>'Novembro 2026'!X3</f>
        <v>0</v>
      </c>
      <c r="M4" s="33">
        <f>'Dezembro 2026'!X3</f>
        <v>0</v>
      </c>
    </row>
    <row r="5" spans="1:13" x14ac:dyDescent="0.25">
      <c r="A5" s="32" t="str">
        <f>'Dezembro 2026'!W4</f>
        <v>Aliquota de Imposto</v>
      </c>
      <c r="B5" s="17">
        <f>Janeiro.2026!X4</f>
        <v>0.04</v>
      </c>
      <c r="C5" s="17">
        <f>'Fevereiro 2026'!X4</f>
        <v>0.04</v>
      </c>
      <c r="D5" s="17">
        <f>'Março 2026'!X4</f>
        <v>0.04</v>
      </c>
      <c r="E5" s="17">
        <f>'Abril 2026'!X4</f>
        <v>0.04</v>
      </c>
      <c r="F5" s="17">
        <f>'Maio 2026'!X4</f>
        <v>0.04</v>
      </c>
      <c r="G5" s="17">
        <f>'Junho 2026'!X4</f>
        <v>0.04</v>
      </c>
      <c r="H5" s="17">
        <f>'Julho 2026'!X4</f>
        <v>0.04</v>
      </c>
      <c r="I5" s="17">
        <f>'Agosto 2026'!X4</f>
        <v>0.04</v>
      </c>
      <c r="J5" s="17">
        <f>'Setembro 2026'!X4</f>
        <v>0.04</v>
      </c>
      <c r="K5" s="17">
        <f>'Outubro 2026'!X4</f>
        <v>0.04</v>
      </c>
      <c r="L5" s="17">
        <f>'Novembro 2026'!X4</f>
        <v>0.04</v>
      </c>
      <c r="M5" s="34">
        <f>'Dezembro 2026'!X4</f>
        <v>0.04</v>
      </c>
    </row>
    <row r="6" spans="1:13" x14ac:dyDescent="0.25">
      <c r="A6" s="32" t="str">
        <f>'Dezembro 2026'!W8</f>
        <v>ticket médio mensal</v>
      </c>
      <c r="B6" s="2">
        <f>Janeiro.2026!X13</f>
        <v>0</v>
      </c>
      <c r="C6" s="2">
        <f>'Fevereiro 2026'!X8</f>
        <v>0</v>
      </c>
      <c r="D6" s="2">
        <f>'Março 2026'!X8</f>
        <v>0</v>
      </c>
      <c r="E6" s="2">
        <f>'Abril 2026'!X8</f>
        <v>0</v>
      </c>
      <c r="F6" s="2">
        <f>'Maio 2026'!X8</f>
        <v>0</v>
      </c>
      <c r="G6" s="2">
        <f>'Junho 2026'!X8</f>
        <v>0</v>
      </c>
      <c r="H6" s="2">
        <f>'Julho 2026'!X8</f>
        <v>0</v>
      </c>
      <c r="I6" s="2">
        <f>'Agosto 2026'!X8</f>
        <v>0</v>
      </c>
      <c r="J6" s="2">
        <f>'Setembro 2026'!X7</f>
        <v>0</v>
      </c>
      <c r="K6" s="2">
        <f>'Outubro 2026'!X8</f>
        <v>0</v>
      </c>
      <c r="L6" s="2">
        <f>'Novembro 2026'!X8</f>
        <v>0</v>
      </c>
      <c r="M6" s="33">
        <f>'Dezembro 2026'!X8</f>
        <v>0</v>
      </c>
    </row>
    <row r="7" spans="1:13" x14ac:dyDescent="0.25">
      <c r="A7" s="32" t="str">
        <f>'Dezembro 2026'!W5</f>
        <v>Total Gasto em armazenagem</v>
      </c>
      <c r="B7" s="2">
        <f>Janeiro.2026!X5</f>
        <v>0</v>
      </c>
      <c r="C7" s="2">
        <f>'Fevereiro 2026'!X5</f>
        <v>0</v>
      </c>
      <c r="D7" s="2">
        <f>'Março 2026'!X5</f>
        <v>0</v>
      </c>
      <c r="E7" s="2">
        <f>'Abril 2026'!X5</f>
        <v>0</v>
      </c>
      <c r="F7" s="2">
        <f>'Maio 2026'!X5</f>
        <v>0</v>
      </c>
      <c r="G7" s="2">
        <f>'Junho 2026'!X5</f>
        <v>0</v>
      </c>
      <c r="H7" s="2">
        <f>'Julho 2026'!X5</f>
        <v>0</v>
      </c>
      <c r="I7" s="2">
        <f>'Agosto 2026'!X5</f>
        <v>0</v>
      </c>
      <c r="J7" s="2">
        <f>'Setembro 2026'!X5</f>
        <v>0</v>
      </c>
      <c r="K7" s="2">
        <f>'Outubro 2026'!X5</f>
        <v>0</v>
      </c>
      <c r="L7" s="2">
        <f>'Novembro 2026'!X5</f>
        <v>0</v>
      </c>
      <c r="M7" s="33">
        <f>'Dezembro 2026'!X5</f>
        <v>0</v>
      </c>
    </row>
    <row r="8" spans="1:13" x14ac:dyDescent="0.25">
      <c r="A8" s="32" t="str">
        <f>'Dezembro 2026'!W6</f>
        <v>Ads Mercado Livre</v>
      </c>
      <c r="B8" s="2">
        <f>Janeiro.2026!X6</f>
        <v>0</v>
      </c>
      <c r="C8" s="2">
        <f>'Fevereiro 2026'!X6</f>
        <v>0</v>
      </c>
      <c r="D8" s="2">
        <f>'Março 2026'!X6</f>
        <v>0</v>
      </c>
      <c r="E8" s="2">
        <f>'Abril 2026'!X6</f>
        <v>0</v>
      </c>
      <c r="F8" s="2">
        <f>'Maio 2026'!X6</f>
        <v>0</v>
      </c>
      <c r="G8" s="2">
        <f>'Junho 2026'!X6</f>
        <v>0</v>
      </c>
      <c r="H8" s="2">
        <f>'Julho 2026'!X6</f>
        <v>0</v>
      </c>
      <c r="I8" s="2">
        <f>'Agosto 2026'!X6</f>
        <v>0</v>
      </c>
      <c r="J8" s="2">
        <f>'Setembro 2026'!X6</f>
        <v>0</v>
      </c>
      <c r="K8" s="2">
        <f>'Outubro 2026'!X6</f>
        <v>0</v>
      </c>
      <c r="L8" s="2">
        <f>'Novembro 2026'!X6</f>
        <v>0</v>
      </c>
      <c r="M8" s="33">
        <f>'Dezembro 2026'!X6</f>
        <v>0</v>
      </c>
    </row>
    <row r="9" spans="1:13" x14ac:dyDescent="0.25">
      <c r="A9" s="32" t="str">
        <f>'Dezembro 2026'!W7</f>
        <v>Ads Outras Plataformas avulsas</v>
      </c>
      <c r="B9" s="2">
        <f>Janeiro.2026!X7</f>
        <v>0</v>
      </c>
      <c r="C9" s="2">
        <f>'Fevereiro 2026'!X7</f>
        <v>0</v>
      </c>
      <c r="D9" s="2">
        <f>'Março 2026'!X7</f>
        <v>0</v>
      </c>
      <c r="E9" s="2">
        <f>'Abril 2026'!X7</f>
        <v>0</v>
      </c>
      <c r="F9" s="2">
        <f>'Maio 2026'!X7</f>
        <v>0</v>
      </c>
      <c r="G9" s="2">
        <f>'Junho 2026'!X7</f>
        <v>0</v>
      </c>
      <c r="H9" s="2">
        <f>'Julho 2026'!X7</f>
        <v>0</v>
      </c>
      <c r="I9" s="2">
        <f>'Agosto 2026'!X7</f>
        <v>0</v>
      </c>
      <c r="J9" s="2">
        <f>'Setembro 2026'!X7</f>
        <v>0</v>
      </c>
      <c r="K9" s="2">
        <f>'Outubro 2026'!X7</f>
        <v>0</v>
      </c>
      <c r="L9" s="2">
        <f>'Novembro 2026'!X7</f>
        <v>0</v>
      </c>
      <c r="M9" s="33">
        <f>'Dezembro 2026'!X7</f>
        <v>0</v>
      </c>
    </row>
    <row r="10" spans="1:13" x14ac:dyDescent="0.25">
      <c r="A10" s="32" t="str">
        <f>'Dezembro 2026'!W9</f>
        <v>Custo com Produtos</v>
      </c>
      <c r="B10" s="2">
        <f>Janeiro.2026!X8</f>
        <v>0</v>
      </c>
      <c r="C10" s="2">
        <f>'Fevereiro 2026'!X9</f>
        <v>0</v>
      </c>
      <c r="D10" s="2">
        <f>'Março 2026'!X9</f>
        <v>0</v>
      </c>
      <c r="E10" s="2">
        <f>'Abril 2026'!X9</f>
        <v>0</v>
      </c>
      <c r="F10" s="2">
        <f>'Maio 2026'!X9</f>
        <v>0</v>
      </c>
      <c r="G10" s="2">
        <f>'Junho 2026'!X9</f>
        <v>0</v>
      </c>
      <c r="H10" s="2">
        <f>'Julho 2026'!X9</f>
        <v>0</v>
      </c>
      <c r="I10" s="2">
        <f>'Agosto 2026'!X9</f>
        <v>0</v>
      </c>
      <c r="J10" s="2">
        <f>'Setembro 2026'!X9</f>
        <v>0</v>
      </c>
      <c r="K10" s="2">
        <f>'Outubro 2026'!X9</f>
        <v>0</v>
      </c>
      <c r="L10" s="2">
        <f>'Novembro 2026'!X9</f>
        <v>0</v>
      </c>
      <c r="M10" s="33">
        <f>'Dezembro 2026'!X9</f>
        <v>0</v>
      </c>
    </row>
    <row r="11" spans="1:13" x14ac:dyDescent="0.25">
      <c r="A11" s="32" t="str">
        <f>'Dezembro 2026'!W10</f>
        <v>Tarifas Marketplaces</v>
      </c>
      <c r="B11" s="2">
        <f>Janeiro.2026!X9</f>
        <v>0</v>
      </c>
      <c r="C11" s="2">
        <f>'Fevereiro 2026'!X10</f>
        <v>0</v>
      </c>
      <c r="D11" s="2">
        <f>'Março 2026'!X10</f>
        <v>0</v>
      </c>
      <c r="E11" s="2">
        <f>'Abril 2026'!X10</f>
        <v>0</v>
      </c>
      <c r="F11" s="2">
        <f>'Maio 2026'!X12</f>
        <v>0</v>
      </c>
      <c r="G11" s="2">
        <f>'Junho 2026'!X10</f>
        <v>0</v>
      </c>
      <c r="H11" s="2">
        <f>'Julho 2026'!X10</f>
        <v>0</v>
      </c>
      <c r="I11" s="2">
        <f>'Agosto 2026'!X10</f>
        <v>0</v>
      </c>
      <c r="J11" s="2">
        <f>'Setembro 2026'!X10</f>
        <v>0</v>
      </c>
      <c r="K11" s="2">
        <f>'Outubro 2026'!X10</f>
        <v>0</v>
      </c>
      <c r="L11" s="2">
        <f>'Novembro 2026'!X10</f>
        <v>0</v>
      </c>
      <c r="M11" s="33">
        <f>'Dezembro 2026'!X10</f>
        <v>0</v>
      </c>
    </row>
    <row r="12" spans="1:13" s="6" customFormat="1" x14ac:dyDescent="0.25">
      <c r="A12" s="32" t="s">
        <v>94</v>
      </c>
      <c r="B12" s="2">
        <f>Janeiro.2026!X10</f>
        <v>0</v>
      </c>
      <c r="C12" s="2">
        <f>'Fevereiro 2026'!X11</f>
        <v>0</v>
      </c>
      <c r="D12" s="2">
        <f>'Março 2026'!X11</f>
        <v>0</v>
      </c>
      <c r="E12" s="2">
        <f>'Abril 2026'!X11</f>
        <v>0</v>
      </c>
      <c r="F12" s="2">
        <f>'Maio 2026'!X11</f>
        <v>0</v>
      </c>
      <c r="G12" s="2">
        <f>'Junho 2026'!X11</f>
        <v>0</v>
      </c>
      <c r="H12" s="2">
        <f>'Julho 2026'!X11</f>
        <v>0</v>
      </c>
      <c r="I12" s="2">
        <f>'Agosto 2026'!X11</f>
        <v>0</v>
      </c>
      <c r="J12" s="2">
        <f>'Setembro 2026'!X11</f>
        <v>0</v>
      </c>
      <c r="K12" s="2">
        <f>'Outubro 2026'!X11</f>
        <v>0</v>
      </c>
      <c r="L12" s="2">
        <f>'Novembro 2026'!X11</f>
        <v>0</v>
      </c>
      <c r="M12" s="33">
        <f>'Dezembro 2026'!X11</f>
        <v>0</v>
      </c>
    </row>
    <row r="13" spans="1:13" x14ac:dyDescent="0.25">
      <c r="A13" s="32" t="str">
        <f>'Dezembro 2026'!W12</f>
        <v>Imposto - DAS</v>
      </c>
      <c r="B13" s="2">
        <f>Janeiro.2026!X11</f>
        <v>0</v>
      </c>
      <c r="C13" s="2">
        <f>'Fevereiro 2026'!X12</f>
        <v>0</v>
      </c>
      <c r="D13" s="2">
        <f>'Março 2026'!X12</f>
        <v>0</v>
      </c>
      <c r="E13" s="2">
        <f>'Abril 2026'!X12</f>
        <v>0</v>
      </c>
      <c r="F13" s="2">
        <f>'Maio 2026'!X12</f>
        <v>0</v>
      </c>
      <c r="G13" s="2">
        <f>'Junho 2026'!X12</f>
        <v>0</v>
      </c>
      <c r="H13" s="2">
        <f>'Julho 2026'!X12</f>
        <v>0</v>
      </c>
      <c r="I13" s="2">
        <f>'Agosto 2026'!X12</f>
        <v>0</v>
      </c>
      <c r="J13" s="2">
        <f>'Setembro 2026'!X12</f>
        <v>0</v>
      </c>
      <c r="K13" s="2">
        <f>'Outubro 2026'!X12</f>
        <v>0</v>
      </c>
      <c r="L13" s="2">
        <f>'Novembro 2026'!X12</f>
        <v>0</v>
      </c>
      <c r="M13" s="33">
        <f>'Dezembro 2026'!X12</f>
        <v>0</v>
      </c>
    </row>
    <row r="14" spans="1:13" x14ac:dyDescent="0.25">
      <c r="A14" s="32" t="str">
        <f>'Dezembro 2026'!W14</f>
        <v>Outras Taxas</v>
      </c>
      <c r="B14" s="2">
        <f>Janeiro.2026!X12</f>
        <v>0</v>
      </c>
      <c r="C14" s="2">
        <f>'Fevereiro 2026'!X14</f>
        <v>0</v>
      </c>
      <c r="D14" s="2">
        <f>'Março 2026'!X14</f>
        <v>0</v>
      </c>
      <c r="E14" s="2">
        <f>'Abril 2026'!X14</f>
        <v>0</v>
      </c>
      <c r="F14" s="2">
        <f>'Maio 2026'!X14</f>
        <v>0</v>
      </c>
      <c r="G14" s="2">
        <f>'Junho 2026'!X14</f>
        <v>0</v>
      </c>
      <c r="H14" s="2">
        <f>'Julho 2026'!X14</f>
        <v>0</v>
      </c>
      <c r="I14" s="2">
        <f>'Agosto 2026'!X14</f>
        <v>0</v>
      </c>
      <c r="J14" s="2">
        <f>'Setembro 2026'!X14</f>
        <v>0</v>
      </c>
      <c r="K14" s="2">
        <f>'Outubro 2026'!X14</f>
        <v>0</v>
      </c>
      <c r="L14" s="2">
        <f>'Novembro 2026'!X14</f>
        <v>0</v>
      </c>
      <c r="M14" s="33">
        <f>'Dezembro 2026'!X14</f>
        <v>0</v>
      </c>
    </row>
    <row r="15" spans="1:13" x14ac:dyDescent="0.25">
      <c r="A15" s="32" t="str">
        <f>'Dezembro 2026'!W13</f>
        <v>Página Oficial Mercado Livre</v>
      </c>
      <c r="B15" s="2">
        <f>Janeiro.2026!X14</f>
        <v>0</v>
      </c>
      <c r="C15" s="2">
        <f>'Fevereiro 2026'!X13</f>
        <v>0</v>
      </c>
      <c r="D15" s="2">
        <f>'Março 2026'!X13</f>
        <v>0</v>
      </c>
      <c r="E15" s="2">
        <f>'Abril 2026'!X13</f>
        <v>0</v>
      </c>
      <c r="F15" s="2">
        <f>'Maio 2026'!X13</f>
        <v>0</v>
      </c>
      <c r="G15" s="2">
        <f>'Junho 2026'!X13</f>
        <v>0</v>
      </c>
      <c r="H15" s="2">
        <f>'Julho 2026'!X13</f>
        <v>0</v>
      </c>
      <c r="I15" s="2">
        <f>'Agosto 2026'!X13</f>
        <v>0</v>
      </c>
      <c r="J15" s="2">
        <f>'Setembro 2026'!X13</f>
        <v>0</v>
      </c>
      <c r="K15" s="2">
        <f>'Outubro 2026'!X13</f>
        <v>0</v>
      </c>
      <c r="L15" s="2">
        <f>'Novembro 2026'!X13</f>
        <v>0</v>
      </c>
      <c r="M15" s="33">
        <f>'Dezembro 2026'!X13</f>
        <v>0</v>
      </c>
    </row>
    <row r="16" spans="1:13" x14ac:dyDescent="0.25">
      <c r="A16" s="32" t="str">
        <f>'Dezembro 2026'!W15</f>
        <v>INSS</v>
      </c>
      <c r="B16" s="2">
        <f>Janeiro.2026!X15</f>
        <v>0</v>
      </c>
      <c r="C16" s="2">
        <f>'Fevereiro 2026'!X15</f>
        <v>0</v>
      </c>
      <c r="D16" s="2">
        <f>'Março 2026'!X15</f>
        <v>0</v>
      </c>
      <c r="E16" s="2">
        <f>'Abril 2026'!X15</f>
        <v>0</v>
      </c>
      <c r="F16" s="2">
        <f>'Maio 2026'!X15</f>
        <v>0</v>
      </c>
      <c r="G16" s="2">
        <f>'Junho 2026'!X15</f>
        <v>0</v>
      </c>
      <c r="H16" s="2">
        <f>'Julho 2026'!X14</f>
        <v>0</v>
      </c>
      <c r="I16" s="2">
        <f>'Agosto 2026'!X15</f>
        <v>0</v>
      </c>
      <c r="J16" s="2">
        <f>'Setembro 2026'!X14</f>
        <v>0</v>
      </c>
      <c r="K16" s="2">
        <f>'Outubro 2026'!X15</f>
        <v>0</v>
      </c>
      <c r="L16" s="2">
        <f>'Novembro 2026'!X15</f>
        <v>0</v>
      </c>
      <c r="M16" s="33">
        <f>'Dezembro 2026'!X15</f>
        <v>0</v>
      </c>
    </row>
    <row r="17" spans="1:13" x14ac:dyDescent="0.25">
      <c r="A17" s="32" t="str">
        <f>'Dezembro 2026'!W16</f>
        <v>Contabilidade</v>
      </c>
      <c r="B17" s="2">
        <f>Janeiro.2026!X16</f>
        <v>0</v>
      </c>
      <c r="C17" s="2">
        <f>'Fevereiro 2026'!X16</f>
        <v>0</v>
      </c>
      <c r="D17" s="2">
        <f>'Março 2026'!X16</f>
        <v>0</v>
      </c>
      <c r="E17" s="2">
        <f>'Abril 2026'!X16</f>
        <v>0</v>
      </c>
      <c r="F17" s="2">
        <f>'Maio 2026'!X16</f>
        <v>0</v>
      </c>
      <c r="G17" s="2">
        <f>'Junho 2026'!X16</f>
        <v>0</v>
      </c>
      <c r="H17" s="2">
        <f>'Julho 2026'!X16</f>
        <v>0</v>
      </c>
      <c r="I17" s="2">
        <f>'Agosto 2026'!X16</f>
        <v>0</v>
      </c>
      <c r="J17" s="2">
        <f>'Setembro 2026'!X16</f>
        <v>0</v>
      </c>
      <c r="K17" s="2">
        <f>'Outubro 2026'!X16</f>
        <v>0</v>
      </c>
      <c r="L17" s="2">
        <f>'Novembro 2026'!X16</f>
        <v>0</v>
      </c>
      <c r="M17" s="33">
        <f>'Dezembro 2026'!X16</f>
        <v>0</v>
      </c>
    </row>
    <row r="18" spans="1:13" x14ac:dyDescent="0.25">
      <c r="A18" s="32" t="str">
        <f>'Dezembro 2026'!W17</f>
        <v>Empréstimo</v>
      </c>
      <c r="B18" s="2">
        <f>Janeiro.2026!X17</f>
        <v>0</v>
      </c>
      <c r="C18" s="2">
        <f>'Fevereiro 2026'!X17</f>
        <v>0</v>
      </c>
      <c r="D18" s="2">
        <f>'Março 2026'!X17</f>
        <v>0</v>
      </c>
      <c r="E18" s="2">
        <f>'Abril 2026'!X17</f>
        <v>0</v>
      </c>
      <c r="F18" s="2">
        <f>'Maio 2026'!X17</f>
        <v>0</v>
      </c>
      <c r="G18" s="2">
        <f>'Junho 2026'!X17</f>
        <v>0</v>
      </c>
      <c r="H18" s="2">
        <f>'Julho 2026'!X17</f>
        <v>0</v>
      </c>
      <c r="I18" s="2">
        <f>'Agosto 2026'!X17</f>
        <v>0</v>
      </c>
      <c r="J18" s="2">
        <f>'Setembro 2026'!X17</f>
        <v>0</v>
      </c>
      <c r="K18" s="2">
        <f>'Outubro 2026'!X17</f>
        <v>0</v>
      </c>
      <c r="L18" s="2">
        <f>'Novembro 2026'!X17</f>
        <v>0</v>
      </c>
      <c r="M18" s="33">
        <f>'Dezembro 2026'!X17</f>
        <v>0</v>
      </c>
    </row>
    <row r="19" spans="1:13" x14ac:dyDescent="0.25">
      <c r="A19" s="32" t="str">
        <f>'Dezembro 2026'!W18</f>
        <v>Pró Labore</v>
      </c>
      <c r="B19" s="2">
        <f>Janeiro.2026!X18</f>
        <v>0</v>
      </c>
      <c r="C19" s="2">
        <f>'Fevereiro 2026'!X18</f>
        <v>0</v>
      </c>
      <c r="D19" s="2">
        <f>'Março 2026'!X18</f>
        <v>0</v>
      </c>
      <c r="E19" s="2">
        <f>'Abril 2026'!X18</f>
        <v>0</v>
      </c>
      <c r="F19" s="2">
        <f>'Maio 2026'!X18</f>
        <v>0</v>
      </c>
      <c r="G19" s="2">
        <f>'Junho 2026'!X18</f>
        <v>0</v>
      </c>
      <c r="H19" s="2">
        <f>'Julho 2026'!X18</f>
        <v>0</v>
      </c>
      <c r="I19" s="2">
        <f>'Agosto 2026'!X18</f>
        <v>0</v>
      </c>
      <c r="J19" s="2">
        <f>'Setembro 2026'!X18</f>
        <v>0</v>
      </c>
      <c r="K19" s="2">
        <f>'Outubro 2026'!X18</f>
        <v>0</v>
      </c>
      <c r="L19" s="2">
        <f>'Novembro 2026'!X18</f>
        <v>0</v>
      </c>
      <c r="M19" s="33">
        <f>'Dezembro 2026'!X18</f>
        <v>0</v>
      </c>
    </row>
    <row r="20" spans="1:13" x14ac:dyDescent="0.25">
      <c r="A20" s="32" t="str">
        <f>'Dezembro 2026'!W19</f>
        <v>Previdência Privada</v>
      </c>
      <c r="B20" s="2">
        <f>Janeiro.2026!X19</f>
        <v>0</v>
      </c>
      <c r="C20" s="2">
        <f>'Fevereiro 2026'!X19</f>
        <v>0</v>
      </c>
      <c r="D20" s="2">
        <f>'Março 2026'!X19</f>
        <v>0</v>
      </c>
      <c r="E20" s="2">
        <f>'Abril 2026'!X19</f>
        <v>0</v>
      </c>
      <c r="F20" s="2">
        <f>'Maio 2026'!X19</f>
        <v>0</v>
      </c>
      <c r="G20" s="2">
        <f>'Junho 2026'!X19</f>
        <v>0</v>
      </c>
      <c r="H20" s="2">
        <f>'Julho 2026'!X19</f>
        <v>0</v>
      </c>
      <c r="I20" s="2">
        <f>'Agosto 2026'!X19</f>
        <v>0</v>
      </c>
      <c r="J20" s="2">
        <f>'Setembro 2026'!X19</f>
        <v>0</v>
      </c>
      <c r="K20" s="2">
        <f>'Outubro 2026'!X19</f>
        <v>0</v>
      </c>
      <c r="L20" s="2">
        <f>'Novembro 2026'!X19</f>
        <v>0</v>
      </c>
      <c r="M20" s="33">
        <f>'Dezembro 2026'!X19</f>
        <v>0</v>
      </c>
    </row>
    <row r="21" spans="1:13" s="6" customFormat="1" x14ac:dyDescent="0.25">
      <c r="A21" s="104" t="s">
        <v>42</v>
      </c>
      <c r="B21" s="105">
        <f>Janeiro.2026!X20</f>
        <v>0</v>
      </c>
      <c r="C21" s="105">
        <f>'Fevereiro 2026'!X20</f>
        <v>0</v>
      </c>
      <c r="D21" s="105">
        <f>'Março 2026'!X20</f>
        <v>0</v>
      </c>
      <c r="E21" s="105">
        <f>'Abril 2026'!X20</f>
        <v>0</v>
      </c>
      <c r="F21" s="105">
        <f>'Maio 2026'!X20</f>
        <v>0</v>
      </c>
      <c r="G21" s="105">
        <f>'Junho 2026'!X20</f>
        <v>0</v>
      </c>
      <c r="H21" s="105">
        <f>'Julho 2026'!X20</f>
        <v>0</v>
      </c>
      <c r="I21" s="105">
        <f>'Agosto 2026'!X20</f>
        <v>0</v>
      </c>
      <c r="J21" s="105">
        <f>'Setembro 2026'!X20</f>
        <v>0</v>
      </c>
      <c r="K21" s="105">
        <f>'Outubro 2026'!X20</f>
        <v>0</v>
      </c>
      <c r="L21" s="105">
        <f>'Novembro 2026'!X20</f>
        <v>0</v>
      </c>
      <c r="M21" s="106">
        <f>'Dezembro 2026'!X20</f>
        <v>0</v>
      </c>
    </row>
    <row r="22" spans="1:13" x14ac:dyDescent="0.25">
      <c r="A22" s="125" t="s">
        <v>43</v>
      </c>
      <c r="B22" s="126">
        <f>Janeiro.2026!X21</f>
        <v>0</v>
      </c>
      <c r="C22" s="126">
        <f>'Fevereiro 2026'!X21</f>
        <v>0</v>
      </c>
      <c r="D22" s="126">
        <f>'Março 2026'!X21</f>
        <v>0</v>
      </c>
      <c r="E22" s="126">
        <f>'Abril 2026'!X21</f>
        <v>0</v>
      </c>
      <c r="F22" s="126">
        <f>'Maio 2026'!X21</f>
        <v>0</v>
      </c>
      <c r="G22" s="126">
        <f>'Junho 2026'!X21</f>
        <v>0</v>
      </c>
      <c r="H22" s="126">
        <f>'Julho 2026'!X21</f>
        <v>0</v>
      </c>
      <c r="I22" s="126">
        <f>'Agosto 2026'!X21</f>
        <v>0</v>
      </c>
      <c r="J22" s="126">
        <f>'Setembro 2026'!X21</f>
        <v>0</v>
      </c>
      <c r="K22" s="126">
        <f>'Outubro 2026'!X21</f>
        <v>0</v>
      </c>
      <c r="L22" s="126">
        <f>'Novembro 2026'!X21</f>
        <v>0</v>
      </c>
      <c r="M22" s="126">
        <f>'Dezembro 2026'!X21</f>
        <v>0</v>
      </c>
    </row>
    <row r="23" spans="1:13" x14ac:dyDescent="0.25">
      <c r="A23" s="6"/>
      <c r="B23" s="1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s="6" customFormat="1" x14ac:dyDescent="0.25">
      <c r="A24" s="11" t="s">
        <v>88</v>
      </c>
      <c r="B24" s="96" t="str">
        <f>IFERROR((ABS(SUM(B15:B20)) / ((B4 - ABS(SUM(B7:B14))) / B4)), "")</f>
        <v/>
      </c>
      <c r="C24" s="96" t="str">
        <f>IFERROR((ABS(SUM(C15:C20)) / ((C4 - ABS(SUM(C7:C14))) / C4)), "")</f>
        <v/>
      </c>
      <c r="D24" s="96" t="str">
        <f t="shared" ref="D24:M24" si="0">IFERROR((ABS(SUM(D15:D20)) / ((D4 - ABS(SUM(D7:D14))) / D4)), "")</f>
        <v/>
      </c>
      <c r="E24" s="96" t="str">
        <f t="shared" si="0"/>
        <v/>
      </c>
      <c r="F24" s="96" t="str">
        <f t="shared" si="0"/>
        <v/>
      </c>
      <c r="G24" s="96" t="str">
        <f t="shared" si="0"/>
        <v/>
      </c>
      <c r="H24" s="96" t="str">
        <f t="shared" si="0"/>
        <v/>
      </c>
      <c r="I24" s="96" t="str">
        <f t="shared" si="0"/>
        <v/>
      </c>
      <c r="J24" s="96" t="str">
        <f t="shared" si="0"/>
        <v/>
      </c>
      <c r="K24" s="96" t="str">
        <f t="shared" si="0"/>
        <v/>
      </c>
      <c r="L24" s="96" t="str">
        <f t="shared" si="0"/>
        <v/>
      </c>
      <c r="M24" s="96" t="str">
        <f t="shared" si="0"/>
        <v/>
      </c>
    </row>
    <row r="25" spans="1:13" s="6" customFormat="1" x14ac:dyDescent="0.25">
      <c r="A25" s="101" t="s">
        <v>89</v>
      </c>
      <c r="B25" s="131" t="e">
        <f>AVERAGE(B24:M24)</f>
        <v>#DIV/0!</v>
      </c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</row>
    <row r="26" spans="1:13" x14ac:dyDescent="0.25">
      <c r="A26" s="6"/>
      <c r="B26" s="1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x14ac:dyDescent="0.25">
      <c r="A27" s="13" t="s">
        <v>44</v>
      </c>
      <c r="B27" s="98">
        <f>Janeiro.2026!X24</f>
        <v>0</v>
      </c>
      <c r="C27" s="98">
        <f>'Fevereiro 2026'!X24</f>
        <v>0</v>
      </c>
      <c r="D27" s="98">
        <f>'Março 2026'!X23</f>
        <v>0</v>
      </c>
      <c r="E27" s="98">
        <f>'Abril 2026'!X23</f>
        <v>0</v>
      </c>
      <c r="F27" s="98">
        <f>'Maio 2026'!X23</f>
        <v>0</v>
      </c>
      <c r="G27" s="98">
        <f>'Junho 2026'!X23</f>
        <v>0</v>
      </c>
      <c r="H27" s="98">
        <f>'Julho 2026'!X23</f>
        <v>0</v>
      </c>
      <c r="I27" s="98">
        <f>'Agosto 2026'!X23</f>
        <v>0</v>
      </c>
      <c r="J27" s="98">
        <f>'Setembro 2026'!X23</f>
        <v>0</v>
      </c>
      <c r="K27" s="98">
        <f>'Outubro 2026'!X23</f>
        <v>0</v>
      </c>
      <c r="L27" s="98">
        <f>'Novembro 2026'!X23</f>
        <v>0</v>
      </c>
      <c r="M27" s="98">
        <f>'Dezembro 2026'!X23</f>
        <v>0</v>
      </c>
    </row>
    <row r="28" spans="1:13" x14ac:dyDescent="0.25">
      <c r="A28" s="6"/>
      <c r="B28" s="1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s="6" customFormat="1" x14ac:dyDescent="0.25">
      <c r="A29" s="97" t="s">
        <v>87</v>
      </c>
      <c r="B29" s="99" t="str">
        <f>IFERROR(((B4+B7+B8+B9+B10+B11+B13+B14)/B4), "")</f>
        <v/>
      </c>
      <c r="C29" s="99" t="str">
        <f t="shared" ref="C29:M29" si="1">IFERROR(((C4+C7+C8+C9+C10+C11+C13+C14)/C4), "")</f>
        <v/>
      </c>
      <c r="D29" s="99" t="str">
        <f t="shared" si="1"/>
        <v/>
      </c>
      <c r="E29" s="99" t="str">
        <f t="shared" si="1"/>
        <v/>
      </c>
      <c r="F29" s="99" t="str">
        <f t="shared" si="1"/>
        <v/>
      </c>
      <c r="G29" s="99" t="str">
        <f t="shared" si="1"/>
        <v/>
      </c>
      <c r="H29" s="99" t="str">
        <f t="shared" si="1"/>
        <v/>
      </c>
      <c r="I29" s="99" t="str">
        <f t="shared" si="1"/>
        <v/>
      </c>
      <c r="J29" s="99" t="str">
        <f t="shared" si="1"/>
        <v/>
      </c>
      <c r="K29" s="99" t="str">
        <f t="shared" si="1"/>
        <v/>
      </c>
      <c r="L29" s="99" t="str">
        <f t="shared" si="1"/>
        <v/>
      </c>
      <c r="M29" s="99" t="str">
        <f t="shared" si="1"/>
        <v/>
      </c>
    </row>
    <row r="30" spans="1:13" x14ac:dyDescent="0.25">
      <c r="A30" s="1"/>
      <c r="B30" s="1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x14ac:dyDescent="0.25">
      <c r="A31" s="11" t="s">
        <v>93</v>
      </c>
      <c r="B31" s="12">
        <f>Janeiro.2026!X27</f>
        <v>0</v>
      </c>
      <c r="C31" s="12">
        <f>'Fevereiro 2026'!X27</f>
        <v>0</v>
      </c>
      <c r="D31" s="12">
        <f>'Março 2026'!X27</f>
        <v>0</v>
      </c>
      <c r="E31" s="12">
        <f>'Abril 2026'!X27</f>
        <v>0</v>
      </c>
      <c r="F31" s="12">
        <f>'Maio 2026'!X27</f>
        <v>0</v>
      </c>
      <c r="G31" s="12">
        <f>'Junho 2026'!X27</f>
        <v>0</v>
      </c>
      <c r="H31" s="12">
        <f>'Julho 2026'!X27</f>
        <v>0</v>
      </c>
      <c r="I31" s="12">
        <f>'Agosto 2026'!X27</f>
        <v>0</v>
      </c>
      <c r="J31" s="12">
        <f>'Setembro 2026'!X27</f>
        <v>0</v>
      </c>
      <c r="K31" s="12">
        <f>'Outubro 2026'!X27</f>
        <v>0</v>
      </c>
      <c r="L31" s="12">
        <f>'Novembro 2026'!X27</f>
        <v>0</v>
      </c>
      <c r="M31" s="12">
        <f>'Dezembro 2026'!X27</f>
        <v>0</v>
      </c>
    </row>
    <row r="32" spans="1:13" x14ac:dyDescent="0.25">
      <c r="A32" s="11" t="s">
        <v>46</v>
      </c>
      <c r="B32" s="12">
        <f>Janeiro.2026!X28</f>
        <v>0</v>
      </c>
      <c r="C32" s="12">
        <f>'Fevereiro 2026'!X28</f>
        <v>0</v>
      </c>
      <c r="D32" s="12">
        <f>'Março 2026'!X28</f>
        <v>0</v>
      </c>
      <c r="E32" s="12">
        <f>'Abril 2026'!X28</f>
        <v>0</v>
      </c>
      <c r="F32" s="12">
        <f>'Maio 2026'!X28</f>
        <v>0</v>
      </c>
      <c r="G32" s="12">
        <f>'Junho 2026'!X28</f>
        <v>0</v>
      </c>
      <c r="H32" s="12">
        <f>'Julho 2026'!X28</f>
        <v>0</v>
      </c>
      <c r="I32" s="12">
        <f>'Agosto 2026'!X28</f>
        <v>0</v>
      </c>
      <c r="J32" s="12">
        <f>'Setembro 2026'!X28</f>
        <v>0</v>
      </c>
      <c r="K32" s="12">
        <f>'Outubro 2026'!X28</f>
        <v>0</v>
      </c>
      <c r="L32" s="12">
        <f>'Novembro 2026'!X28</f>
        <v>0</v>
      </c>
      <c r="M32" s="12">
        <f>'Dezembro 2026'!X28</f>
        <v>0</v>
      </c>
    </row>
    <row r="33" spans="1:13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5" spans="1:13" x14ac:dyDescent="0.25">
      <c r="A35" s="127" t="s">
        <v>79</v>
      </c>
      <c r="B35" s="127"/>
    </row>
    <row r="36" spans="1:13" x14ac:dyDescent="0.25">
      <c r="A36" s="65" t="s">
        <v>17</v>
      </c>
      <c r="B36" s="124">
        <f>SUM(B4:M4)</f>
        <v>0</v>
      </c>
    </row>
    <row r="37" spans="1:13" x14ac:dyDescent="0.25">
      <c r="A37" s="65" t="s">
        <v>76</v>
      </c>
      <c r="B37" s="103">
        <f>ABS(SUM(B8:M9))</f>
        <v>0</v>
      </c>
    </row>
    <row r="38" spans="1:13" x14ac:dyDescent="0.25">
      <c r="A38" s="65" t="s">
        <v>96</v>
      </c>
      <c r="B38" s="103">
        <f>ABS(SUM(B11:M11))</f>
        <v>0</v>
      </c>
    </row>
    <row r="39" spans="1:13" s="6" customFormat="1" x14ac:dyDescent="0.25">
      <c r="A39" s="65" t="s">
        <v>94</v>
      </c>
      <c r="B39" s="103">
        <f>ABS(SUM(B12:M12))</f>
        <v>0</v>
      </c>
    </row>
    <row r="40" spans="1:13" s="6" customFormat="1" x14ac:dyDescent="0.25">
      <c r="A40" s="65" t="s">
        <v>95</v>
      </c>
      <c r="B40" s="103">
        <f>ABS(SUM(B7:M7))</f>
        <v>0</v>
      </c>
    </row>
    <row r="41" spans="1:13" x14ac:dyDescent="0.25">
      <c r="A41" s="65" t="s">
        <v>77</v>
      </c>
      <c r="B41" s="103">
        <f>ABS(SUM(B15:M20))</f>
        <v>0</v>
      </c>
    </row>
    <row r="42" spans="1:13" s="6" customFormat="1" x14ac:dyDescent="0.25">
      <c r="A42" s="65" t="s">
        <v>83</v>
      </c>
      <c r="B42" s="103">
        <f>ABS(SUM(B13:M13))</f>
        <v>0</v>
      </c>
    </row>
    <row r="43" spans="1:13" x14ac:dyDescent="0.25">
      <c r="A43" s="65" t="s">
        <v>78</v>
      </c>
      <c r="B43" s="66">
        <f>SUM(B22:M22)</f>
        <v>0</v>
      </c>
    </row>
  </sheetData>
  <mergeCells count="3">
    <mergeCell ref="A35:B35"/>
    <mergeCell ref="A1:M2"/>
    <mergeCell ref="B25:M2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775AD-7199-4618-B782-D6E3E9602F02}">
  <dimension ref="A1:G27"/>
  <sheetViews>
    <sheetView workbookViewId="0">
      <selection activeCell="B22" sqref="B22"/>
    </sheetView>
  </sheetViews>
  <sheetFormatPr defaultRowHeight="15" x14ac:dyDescent="0.25"/>
  <cols>
    <col min="1" max="1" width="24.85546875" bestFit="1" customWidth="1"/>
    <col min="2" max="3" width="17" style="6" customWidth="1"/>
    <col min="4" max="4" width="21.140625" customWidth="1"/>
    <col min="5" max="5" width="19.7109375" customWidth="1"/>
    <col min="6" max="6" width="25" customWidth="1"/>
  </cols>
  <sheetData>
    <row r="1" spans="1:7" s="6" customFormat="1" x14ac:dyDescent="0.25">
      <c r="A1" s="132" t="s">
        <v>82</v>
      </c>
      <c r="B1" s="133"/>
      <c r="C1" s="133"/>
      <c r="D1" s="133"/>
      <c r="E1" s="133"/>
      <c r="F1" s="134"/>
    </row>
    <row r="2" spans="1:7" s="6" customFormat="1" x14ac:dyDescent="0.25">
      <c r="A2" s="135"/>
      <c r="B2" s="136"/>
      <c r="C2" s="136"/>
      <c r="D2" s="136"/>
      <c r="E2" s="136"/>
      <c r="F2" s="137"/>
    </row>
    <row r="3" spans="1:7" s="6" customFormat="1" x14ac:dyDescent="0.25">
      <c r="A3" s="79"/>
      <c r="B3" s="29">
        <v>2023</v>
      </c>
      <c r="C3" s="29">
        <v>2024</v>
      </c>
      <c r="D3" s="29">
        <v>2025</v>
      </c>
      <c r="E3" s="29">
        <v>2026</v>
      </c>
      <c r="F3" s="80" t="s">
        <v>12</v>
      </c>
    </row>
    <row r="4" spans="1:7" x14ac:dyDescent="0.25">
      <c r="A4" s="81" t="s">
        <v>13</v>
      </c>
      <c r="B4" s="30" t="s">
        <v>14</v>
      </c>
      <c r="C4" s="30" t="s">
        <v>14</v>
      </c>
      <c r="D4" s="30" t="s">
        <v>14</v>
      </c>
      <c r="E4" s="30" t="s">
        <v>14</v>
      </c>
      <c r="F4" s="82" t="s">
        <v>15</v>
      </c>
      <c r="G4" s="6"/>
    </row>
    <row r="5" spans="1:7" s="6" customFormat="1" x14ac:dyDescent="0.25">
      <c r="A5" s="83" t="s">
        <v>0</v>
      </c>
      <c r="B5" s="90"/>
      <c r="C5" s="90"/>
      <c r="D5" s="90"/>
      <c r="E5" s="71">
        <f>Janeiro.2026!X3</f>
        <v>0</v>
      </c>
      <c r="F5" s="84" t="str">
        <f t="shared" ref="F5:F16" si="0">IFERROR(ABS((100%-(E5/D5))), "")</f>
        <v/>
      </c>
    </row>
    <row r="6" spans="1:7" x14ac:dyDescent="0.25">
      <c r="A6" s="83" t="s">
        <v>1</v>
      </c>
      <c r="B6" s="90"/>
      <c r="C6" s="90"/>
      <c r="D6" s="91"/>
      <c r="E6" s="71">
        <f>'Fevereiro 2026'!X3</f>
        <v>0</v>
      </c>
      <c r="F6" s="84" t="str">
        <f t="shared" si="0"/>
        <v/>
      </c>
      <c r="G6" s="6"/>
    </row>
    <row r="7" spans="1:7" x14ac:dyDescent="0.25">
      <c r="A7" s="83" t="s">
        <v>2</v>
      </c>
      <c r="B7" s="90"/>
      <c r="C7" s="90"/>
      <c r="D7" s="91"/>
      <c r="E7" s="71">
        <f>'Março 2026'!X3</f>
        <v>0</v>
      </c>
      <c r="F7" s="84" t="str">
        <f t="shared" si="0"/>
        <v/>
      </c>
      <c r="G7" s="6"/>
    </row>
    <row r="8" spans="1:7" x14ac:dyDescent="0.25">
      <c r="A8" s="83" t="s">
        <v>3</v>
      </c>
      <c r="B8" s="90"/>
      <c r="C8" s="90"/>
      <c r="D8" s="91"/>
      <c r="E8" s="71">
        <f>'Abril 2026'!X3</f>
        <v>0</v>
      </c>
      <c r="F8" s="84" t="str">
        <f t="shared" si="0"/>
        <v/>
      </c>
      <c r="G8" s="6"/>
    </row>
    <row r="9" spans="1:7" x14ac:dyDescent="0.25">
      <c r="A9" s="83" t="s">
        <v>4</v>
      </c>
      <c r="B9" s="90"/>
      <c r="C9" s="90"/>
      <c r="D9" s="91"/>
      <c r="E9" s="71">
        <f>'Maio 2026'!X3</f>
        <v>0</v>
      </c>
      <c r="F9" s="84" t="str">
        <f t="shared" si="0"/>
        <v/>
      </c>
      <c r="G9" s="6"/>
    </row>
    <row r="10" spans="1:7" x14ac:dyDescent="0.25">
      <c r="A10" s="83" t="s">
        <v>5</v>
      </c>
      <c r="B10" s="90"/>
      <c r="C10" s="90"/>
      <c r="D10" s="91"/>
      <c r="E10" s="71">
        <f>'Junho 2026'!X3</f>
        <v>0</v>
      </c>
      <c r="F10" s="84" t="str">
        <f t="shared" si="0"/>
        <v/>
      </c>
      <c r="G10" s="6"/>
    </row>
    <row r="11" spans="1:7" x14ac:dyDescent="0.25">
      <c r="A11" s="83" t="s">
        <v>6</v>
      </c>
      <c r="B11" s="90"/>
      <c r="C11" s="90"/>
      <c r="D11" s="91"/>
      <c r="E11" s="71">
        <f>'Julho 2026'!X3</f>
        <v>0</v>
      </c>
      <c r="F11" s="84" t="str">
        <f t="shared" si="0"/>
        <v/>
      </c>
      <c r="G11" s="6"/>
    </row>
    <row r="12" spans="1:7" x14ac:dyDescent="0.25">
      <c r="A12" s="83" t="s">
        <v>7</v>
      </c>
      <c r="B12" s="90"/>
      <c r="C12" s="90"/>
      <c r="D12" s="91"/>
      <c r="E12" s="71">
        <f>'Agosto 2026'!X3</f>
        <v>0</v>
      </c>
      <c r="F12" s="84" t="str">
        <f t="shared" si="0"/>
        <v/>
      </c>
      <c r="G12" s="6"/>
    </row>
    <row r="13" spans="1:7" x14ac:dyDescent="0.25">
      <c r="A13" s="85" t="s">
        <v>8</v>
      </c>
      <c r="B13" s="90"/>
      <c r="C13" s="90"/>
      <c r="D13" s="91"/>
      <c r="E13" s="71">
        <f>'Setembro 2026'!X3</f>
        <v>0</v>
      </c>
      <c r="F13" s="84" t="str">
        <f t="shared" si="0"/>
        <v/>
      </c>
      <c r="G13" s="6"/>
    </row>
    <row r="14" spans="1:7" x14ac:dyDescent="0.25">
      <c r="A14" s="85" t="s">
        <v>9</v>
      </c>
      <c r="B14" s="90"/>
      <c r="C14" s="90"/>
      <c r="D14" s="91"/>
      <c r="E14" s="71">
        <f>'Outubro 2026'!X3</f>
        <v>0</v>
      </c>
      <c r="F14" s="84" t="str">
        <f t="shared" si="0"/>
        <v/>
      </c>
      <c r="G14" s="6"/>
    </row>
    <row r="15" spans="1:7" x14ac:dyDescent="0.25">
      <c r="A15" s="85" t="s">
        <v>10</v>
      </c>
      <c r="B15" s="90"/>
      <c r="C15" s="90"/>
      <c r="D15" s="92"/>
      <c r="E15" s="71">
        <f>'Novembro 2026'!X3</f>
        <v>0</v>
      </c>
      <c r="F15" s="84" t="str">
        <f t="shared" si="0"/>
        <v/>
      </c>
      <c r="G15" s="6"/>
    </row>
    <row r="16" spans="1:7" ht="15.75" thickBot="1" x14ac:dyDescent="0.3">
      <c r="A16" s="86" t="s">
        <v>11</v>
      </c>
      <c r="B16" s="90"/>
      <c r="C16" s="90"/>
      <c r="D16" s="92"/>
      <c r="E16" s="87">
        <f>'Dezembro 2026'!X3</f>
        <v>0</v>
      </c>
      <c r="F16" s="84" t="str">
        <f t="shared" si="0"/>
        <v/>
      </c>
      <c r="G16" s="6"/>
    </row>
    <row r="17" spans="1:7" x14ac:dyDescent="0.25">
      <c r="A17" s="24"/>
      <c r="B17" s="28"/>
      <c r="C17" s="28"/>
      <c r="D17" s="25"/>
      <c r="E17" s="25"/>
      <c r="F17" s="26"/>
      <c r="G17" s="6"/>
    </row>
    <row r="18" spans="1:7" s="6" customFormat="1" ht="30" x14ac:dyDescent="0.25">
      <c r="A18" s="15"/>
      <c r="B18" s="15"/>
      <c r="C18" s="15"/>
      <c r="D18" s="16"/>
      <c r="E18" s="16"/>
      <c r="F18" s="75" t="s">
        <v>16</v>
      </c>
    </row>
    <row r="19" spans="1:7" x14ac:dyDescent="0.25">
      <c r="A19" s="31" t="s">
        <v>17</v>
      </c>
      <c r="B19" s="73">
        <f>SUM(B5:B16)</f>
        <v>0</v>
      </c>
      <c r="C19" s="73">
        <f t="shared" ref="C19:E19" si="1">SUM(C5:C16)</f>
        <v>0</v>
      </c>
      <c r="D19" s="73">
        <f t="shared" si="1"/>
        <v>0</v>
      </c>
      <c r="E19" s="73">
        <f t="shared" si="1"/>
        <v>0</v>
      </c>
      <c r="F19" s="74" t="e">
        <f>100%-(D19/E19)</f>
        <v>#DIV/0!</v>
      </c>
      <c r="G19" s="6"/>
    </row>
    <row r="20" spans="1:7" x14ac:dyDescent="0.25">
      <c r="A20" s="6"/>
      <c r="B20" s="16"/>
      <c r="D20" s="6"/>
      <c r="E20" s="6"/>
      <c r="F20" s="6"/>
      <c r="G20" s="6"/>
    </row>
    <row r="21" spans="1:7" x14ac:dyDescent="0.25">
      <c r="A21" s="68" t="s">
        <v>80</v>
      </c>
      <c r="B21" s="67">
        <v>0.3</v>
      </c>
      <c r="D21" s="6"/>
      <c r="E21" s="27"/>
      <c r="F21" s="6"/>
      <c r="G21" s="6"/>
    </row>
    <row r="22" spans="1:7" x14ac:dyDescent="0.25">
      <c r="A22" s="68" t="s">
        <v>18</v>
      </c>
      <c r="B22" s="76">
        <f>(D19*B21)+D19</f>
        <v>0</v>
      </c>
      <c r="D22" s="25"/>
      <c r="E22" s="25"/>
      <c r="F22" s="26"/>
      <c r="G22" s="6"/>
    </row>
    <row r="23" spans="1:7" x14ac:dyDescent="0.25">
      <c r="A23" s="69" t="s">
        <v>19</v>
      </c>
      <c r="B23" s="77">
        <f>E19</f>
        <v>0</v>
      </c>
      <c r="D23" s="6"/>
      <c r="E23" s="6"/>
      <c r="F23" s="6"/>
      <c r="G23" s="6"/>
    </row>
    <row r="24" spans="1:7" x14ac:dyDescent="0.25">
      <c r="A24" s="70" t="s">
        <v>20</v>
      </c>
      <c r="B24" s="72" t="e">
        <f>B23/B22</f>
        <v>#DIV/0!</v>
      </c>
      <c r="D24" s="6"/>
      <c r="E24" s="6"/>
      <c r="F24" s="6"/>
      <c r="G24" s="6"/>
    </row>
    <row r="25" spans="1:7" x14ac:dyDescent="0.25">
      <c r="A25" s="6"/>
      <c r="D25" s="6"/>
      <c r="E25" s="6"/>
      <c r="F25" s="6"/>
      <c r="G25" s="6"/>
    </row>
    <row r="27" spans="1:7" x14ac:dyDescent="0.25">
      <c r="A27" s="6"/>
      <c r="D27" s="6"/>
      <c r="E27" s="25"/>
      <c r="F27" s="6"/>
      <c r="G27" s="6"/>
    </row>
  </sheetData>
  <mergeCells count="1">
    <mergeCell ref="A1:F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2CC22-06D8-48E6-B13F-3D2B8679F803}">
  <dimension ref="A1:AC465"/>
  <sheetViews>
    <sheetView topLeftCell="E1" workbookViewId="0">
      <selection activeCell="X5" sqref="X5"/>
    </sheetView>
  </sheetViews>
  <sheetFormatPr defaultRowHeight="15" x14ac:dyDescent="0.25"/>
  <cols>
    <col min="1" max="1" width="4.28515625" style="6" bestFit="1" customWidth="1"/>
    <col min="2" max="2" width="15.28515625" style="1" bestFit="1" customWidth="1"/>
    <col min="3" max="3" width="15.85546875" style="6" bestFit="1" customWidth="1"/>
    <col min="4" max="4" width="16.85546875" style="6" bestFit="1" customWidth="1"/>
    <col min="5" max="9" width="16.85546875" style="6" customWidth="1"/>
    <col min="10" max="10" width="14.28515625" style="6" bestFit="1" customWidth="1"/>
    <col min="11" max="12" width="11.28515625" style="6" bestFit="1" customWidth="1"/>
    <col min="13" max="13" width="12.5703125" style="6" bestFit="1" customWidth="1"/>
    <col min="14" max="14" width="12.5703125" style="6" customWidth="1"/>
    <col min="15" max="15" width="9.42578125" style="6" bestFit="1" customWidth="1"/>
    <col min="16" max="16" width="13.140625" style="6" bestFit="1" customWidth="1"/>
    <col min="17" max="17" width="15.140625" style="6" bestFit="1" customWidth="1"/>
    <col min="18" max="19" width="8.42578125" style="6" bestFit="1" customWidth="1"/>
    <col min="20" max="20" width="14.5703125" style="6" bestFit="1" customWidth="1"/>
    <col min="21" max="21" width="19" style="6" bestFit="1" customWidth="1"/>
    <col min="22" max="22" width="15.85546875" style="6" customWidth="1"/>
    <col min="23" max="23" width="28.85546875" style="6" bestFit="1" customWidth="1"/>
    <col min="24" max="24" width="11.7109375" style="1" bestFit="1" customWidth="1"/>
    <col min="25" max="25" width="12.5703125" style="6" customWidth="1"/>
    <col min="26" max="26" width="15.28515625" style="6" bestFit="1" customWidth="1"/>
    <col min="27" max="27" width="24.7109375" style="6" customWidth="1"/>
    <col min="28" max="28" width="15.85546875" style="6" customWidth="1"/>
    <col min="29" max="16384" width="9.140625" style="6"/>
  </cols>
  <sheetData>
    <row r="1" spans="1:29" ht="15.75" thickBot="1" x14ac:dyDescent="0.3">
      <c r="A1" s="138" t="s">
        <v>48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</row>
    <row r="2" spans="1:29" x14ac:dyDescent="0.25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W2" s="62"/>
      <c r="X2" s="63" t="s">
        <v>49</v>
      </c>
      <c r="Y2" s="64" t="s">
        <v>50</v>
      </c>
    </row>
    <row r="3" spans="1:29" x14ac:dyDescent="0.25">
      <c r="A3" s="9" t="s">
        <v>21</v>
      </c>
      <c r="B3" s="7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9" t="s">
        <v>31</v>
      </c>
      <c r="L3" s="8" t="s">
        <v>32</v>
      </c>
      <c r="M3" s="8" t="s">
        <v>33</v>
      </c>
      <c r="N3" s="8" t="s">
        <v>94</v>
      </c>
      <c r="O3" s="8" t="s">
        <v>34</v>
      </c>
      <c r="P3" s="8" t="s">
        <v>58</v>
      </c>
      <c r="Q3" s="8" t="s">
        <v>35</v>
      </c>
      <c r="R3" s="8" t="s">
        <v>36</v>
      </c>
      <c r="S3" s="8" t="s">
        <v>37</v>
      </c>
      <c r="T3" s="8" t="s">
        <v>38</v>
      </c>
      <c r="U3" s="9" t="s">
        <v>39</v>
      </c>
      <c r="W3" s="49" t="s">
        <v>17</v>
      </c>
      <c r="X3" s="51">
        <f>SUM(C36:I36)</f>
        <v>0</v>
      </c>
      <c r="Y3" s="52">
        <f t="shared" ref="Y3:Y20" si="0">X3</f>
        <v>0</v>
      </c>
      <c r="AA3" s="60" t="s">
        <v>75</v>
      </c>
      <c r="AB3" s="60" t="s">
        <v>74</v>
      </c>
    </row>
    <row r="4" spans="1:29" x14ac:dyDescent="0.25">
      <c r="A4" s="23">
        <v>30</v>
      </c>
      <c r="B4" s="19"/>
      <c r="C4" s="4"/>
      <c r="D4" s="4"/>
      <c r="E4" s="4"/>
      <c r="F4" s="4"/>
      <c r="G4" s="4"/>
      <c r="H4" s="4"/>
      <c r="I4" s="4"/>
      <c r="J4" s="4"/>
      <c r="K4" s="10"/>
      <c r="L4" s="3"/>
      <c r="M4" s="3"/>
      <c r="N4" s="3"/>
      <c r="O4" s="88">
        <f>$X$18/30</f>
        <v>0</v>
      </c>
      <c r="P4" s="88">
        <f>$X$17/30</f>
        <v>0</v>
      </c>
      <c r="Q4" s="88">
        <f>$X$16/30</f>
        <v>0</v>
      </c>
      <c r="R4" s="88">
        <f>$X$20/30</f>
        <v>0</v>
      </c>
      <c r="S4" s="88">
        <f>$X$15/30</f>
        <v>0</v>
      </c>
      <c r="T4" s="3"/>
      <c r="U4" s="3">
        <f>C4+B4+K4+L4+M4+O4+P4+Q4+R4+S4+T4+D4+E4+F4+G4+I4+H4</f>
        <v>0</v>
      </c>
      <c r="W4" s="49" t="s">
        <v>40</v>
      </c>
      <c r="X4" s="53">
        <v>0.04</v>
      </c>
      <c r="Y4" s="54">
        <f t="shared" si="0"/>
        <v>0.04</v>
      </c>
      <c r="Z4" s="26"/>
      <c r="AA4" s="58" t="e">
        <f>-(X3/(X6+X7))</f>
        <v>#DIV/0!</v>
      </c>
      <c r="AB4" s="59" t="e">
        <f>IF($AA$4 &gt; 12, "⭐ Excelente", IF($AA$4 &gt;= 6, "✅ Saudável", IF($AA$4 &lt; 5, "🛑 Perigo", "⚠️ Atenção")))</f>
        <v>#DIV/0!</v>
      </c>
    </row>
    <row r="5" spans="1:29" x14ac:dyDescent="0.25">
      <c r="A5" s="23">
        <v>31</v>
      </c>
      <c r="B5" s="19"/>
      <c r="C5" s="19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88">
        <f t="shared" ref="O5:O34" si="1">$X$18/30</f>
        <v>0</v>
      </c>
      <c r="P5" s="88">
        <f t="shared" ref="P5:P34" si="2">$X$17/30</f>
        <v>0</v>
      </c>
      <c r="Q5" s="88">
        <f t="shared" ref="Q5:Q34" si="3">$X$16/30</f>
        <v>0</v>
      </c>
      <c r="R5" s="88">
        <f t="shared" ref="R5:R34" si="4">$X$20/30</f>
        <v>0</v>
      </c>
      <c r="S5" s="88">
        <f t="shared" ref="S5:S34" si="5">$X$15/30</f>
        <v>0</v>
      </c>
      <c r="T5" s="3"/>
      <c r="U5" s="3">
        <f t="shared" ref="U5:U34" si="6">C5+B5+K5+L5+M5+O5+P5+Q5+R5+S5+T5+D5+E5+F5+G5+I5+H5</f>
        <v>0</v>
      </c>
      <c r="W5" s="49" t="s">
        <v>51</v>
      </c>
      <c r="X5" s="51">
        <f>SUM(B4:B34)</f>
        <v>0</v>
      </c>
      <c r="Y5" s="52">
        <f t="shared" si="0"/>
        <v>0</v>
      </c>
      <c r="Z5" s="1"/>
      <c r="AA5" s="6" t="s">
        <v>85</v>
      </c>
      <c r="AB5" s="1"/>
    </row>
    <row r="6" spans="1:29" x14ac:dyDescent="0.25">
      <c r="A6" s="23">
        <v>1</v>
      </c>
      <c r="B6" s="19"/>
      <c r="C6" s="19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88">
        <f t="shared" si="1"/>
        <v>0</v>
      </c>
      <c r="P6" s="88">
        <f t="shared" si="2"/>
        <v>0</v>
      </c>
      <c r="Q6" s="88">
        <f t="shared" si="3"/>
        <v>0</v>
      </c>
      <c r="R6" s="88">
        <f t="shared" si="4"/>
        <v>0</v>
      </c>
      <c r="S6" s="88">
        <f t="shared" si="5"/>
        <v>0</v>
      </c>
      <c r="T6" s="3"/>
      <c r="U6" s="3">
        <f t="shared" si="6"/>
        <v>0</v>
      </c>
      <c r="W6" s="49" t="s">
        <v>52</v>
      </c>
      <c r="X6" s="51">
        <f>SUM(K4:K34)</f>
        <v>0</v>
      </c>
      <c r="Y6" s="52">
        <f t="shared" si="0"/>
        <v>0</v>
      </c>
      <c r="AA6" s="95" t="s">
        <v>86</v>
      </c>
      <c r="AB6" s="94" t="str">
        <f>IFERROR(ABS(SUM(X14:X20)) / ((X3 - ABS(SUM(X5:X12))) / X3), "")</f>
        <v/>
      </c>
    </row>
    <row r="7" spans="1:29" x14ac:dyDescent="0.25">
      <c r="A7" s="23">
        <v>2</v>
      </c>
      <c r="B7" s="3"/>
      <c r="C7" s="19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88">
        <f t="shared" si="1"/>
        <v>0</v>
      </c>
      <c r="P7" s="88">
        <f t="shared" si="2"/>
        <v>0</v>
      </c>
      <c r="Q7" s="88">
        <f t="shared" si="3"/>
        <v>0</v>
      </c>
      <c r="R7" s="88">
        <f t="shared" si="4"/>
        <v>0</v>
      </c>
      <c r="S7" s="88">
        <f t="shared" si="5"/>
        <v>0</v>
      </c>
      <c r="T7" s="3"/>
      <c r="U7" s="3">
        <f t="shared" si="6"/>
        <v>0</v>
      </c>
      <c r="W7" s="49" t="s">
        <v>53</v>
      </c>
      <c r="X7" s="55">
        <v>0</v>
      </c>
      <c r="Y7" s="52">
        <f t="shared" si="0"/>
        <v>0</v>
      </c>
      <c r="AA7" s="1"/>
      <c r="AB7" s="57"/>
    </row>
    <row r="8" spans="1:29" x14ac:dyDescent="0.25">
      <c r="A8" s="23">
        <v>3</v>
      </c>
      <c r="B8" s="3"/>
      <c r="C8" s="19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88">
        <f t="shared" si="1"/>
        <v>0</v>
      </c>
      <c r="P8" s="88">
        <f t="shared" si="2"/>
        <v>0</v>
      </c>
      <c r="Q8" s="88">
        <f t="shared" si="3"/>
        <v>0</v>
      </c>
      <c r="R8" s="88">
        <f t="shared" si="4"/>
        <v>0</v>
      </c>
      <c r="S8" s="88">
        <f t="shared" si="5"/>
        <v>0</v>
      </c>
      <c r="T8" s="3"/>
      <c r="U8" s="3">
        <f t="shared" si="6"/>
        <v>0</v>
      </c>
      <c r="W8" s="49" t="s">
        <v>54</v>
      </c>
      <c r="X8" s="51">
        <f>SUM(L4:L34)</f>
        <v>0</v>
      </c>
      <c r="Y8" s="52">
        <f t="shared" si="0"/>
        <v>0</v>
      </c>
      <c r="AA8" s="57"/>
      <c r="AB8" s="61"/>
      <c r="AC8" s="1"/>
    </row>
    <row r="9" spans="1:29" x14ac:dyDescent="0.25">
      <c r="A9" s="23">
        <v>4</v>
      </c>
      <c r="B9" s="3"/>
      <c r="C9" s="19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88">
        <f t="shared" si="1"/>
        <v>0</v>
      </c>
      <c r="P9" s="88">
        <f t="shared" si="2"/>
        <v>0</v>
      </c>
      <c r="Q9" s="88">
        <f t="shared" si="3"/>
        <v>0</v>
      </c>
      <c r="R9" s="88">
        <f t="shared" si="4"/>
        <v>0</v>
      </c>
      <c r="S9" s="88">
        <f t="shared" si="5"/>
        <v>0</v>
      </c>
      <c r="T9" s="3"/>
      <c r="U9" s="3">
        <f t="shared" si="6"/>
        <v>0</v>
      </c>
      <c r="W9" s="49" t="s">
        <v>55</v>
      </c>
      <c r="X9" s="51">
        <f>SUM(M4:M34)</f>
        <v>0</v>
      </c>
      <c r="Y9" s="52">
        <f t="shared" si="0"/>
        <v>0</v>
      </c>
    </row>
    <row r="10" spans="1:29" x14ac:dyDescent="0.25">
      <c r="A10" s="23">
        <v>5</v>
      </c>
      <c r="B10" s="3"/>
      <c r="C10" s="19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88">
        <f t="shared" si="1"/>
        <v>0</v>
      </c>
      <c r="P10" s="88">
        <f t="shared" si="2"/>
        <v>0</v>
      </c>
      <c r="Q10" s="88">
        <f t="shared" si="3"/>
        <v>0</v>
      </c>
      <c r="R10" s="88">
        <f t="shared" si="4"/>
        <v>0</v>
      </c>
      <c r="S10" s="88">
        <f t="shared" si="5"/>
        <v>0</v>
      </c>
      <c r="T10" s="3"/>
      <c r="U10" s="3">
        <f t="shared" si="6"/>
        <v>0</v>
      </c>
      <c r="W10" s="49" t="s">
        <v>94</v>
      </c>
      <c r="X10" s="120">
        <f>SUM(N4:N34)</f>
        <v>0</v>
      </c>
      <c r="Y10" s="52">
        <v>0</v>
      </c>
    </row>
    <row r="11" spans="1:29" x14ac:dyDescent="0.25">
      <c r="A11" s="23">
        <v>6</v>
      </c>
      <c r="B11" s="19"/>
      <c r="C11" s="19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88">
        <f t="shared" si="1"/>
        <v>0</v>
      </c>
      <c r="P11" s="88">
        <f t="shared" si="2"/>
        <v>0</v>
      </c>
      <c r="Q11" s="88">
        <f t="shared" si="3"/>
        <v>0</v>
      </c>
      <c r="R11" s="88">
        <f t="shared" si="4"/>
        <v>0</v>
      </c>
      <c r="S11" s="88">
        <f t="shared" si="5"/>
        <v>0</v>
      </c>
      <c r="T11" s="3"/>
      <c r="U11" s="3">
        <f t="shared" si="6"/>
        <v>0</v>
      </c>
      <c r="W11" s="49" t="s">
        <v>56</v>
      </c>
      <c r="X11" s="52">
        <f>X3*X4</f>
        <v>0</v>
      </c>
      <c r="Y11" s="52">
        <v>-3486.87</v>
      </c>
    </row>
    <row r="12" spans="1:29" x14ac:dyDescent="0.25">
      <c r="A12" s="23">
        <v>7</v>
      </c>
      <c r="B12" s="3"/>
      <c r="C12" s="19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88">
        <f t="shared" si="1"/>
        <v>0</v>
      </c>
      <c r="P12" s="88">
        <f t="shared" si="2"/>
        <v>0</v>
      </c>
      <c r="Q12" s="88">
        <f t="shared" si="3"/>
        <v>0</v>
      </c>
      <c r="R12" s="88">
        <f t="shared" si="4"/>
        <v>0</v>
      </c>
      <c r="S12" s="88">
        <f t="shared" si="5"/>
        <v>0</v>
      </c>
      <c r="T12" s="3"/>
      <c r="U12" s="3">
        <f t="shared" si="6"/>
        <v>0</v>
      </c>
      <c r="W12" s="49" t="s">
        <v>38</v>
      </c>
      <c r="X12" s="51">
        <f>SUM(T4:T34)</f>
        <v>0</v>
      </c>
      <c r="Y12" s="52">
        <f t="shared" si="0"/>
        <v>0</v>
      </c>
      <c r="AB12" s="1"/>
    </row>
    <row r="13" spans="1:29" x14ac:dyDescent="0.25">
      <c r="A13" s="23">
        <v>8</v>
      </c>
      <c r="B13" s="3"/>
      <c r="C13" s="19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88">
        <f t="shared" si="1"/>
        <v>0</v>
      </c>
      <c r="P13" s="88">
        <f t="shared" si="2"/>
        <v>0</v>
      </c>
      <c r="Q13" s="88">
        <f t="shared" si="3"/>
        <v>0</v>
      </c>
      <c r="R13" s="88">
        <f t="shared" si="4"/>
        <v>0</v>
      </c>
      <c r="S13" s="88">
        <f t="shared" si="5"/>
        <v>0</v>
      </c>
      <c r="T13" s="3"/>
      <c r="U13" s="3">
        <f t="shared" si="6"/>
        <v>0</v>
      </c>
      <c r="W13" s="49" t="s">
        <v>41</v>
      </c>
      <c r="X13" s="51">
        <f>(SUM(J4:J34))/31</f>
        <v>0</v>
      </c>
      <c r="Y13" s="52">
        <f t="shared" si="0"/>
        <v>0</v>
      </c>
    </row>
    <row r="14" spans="1:29" x14ac:dyDescent="0.25">
      <c r="A14" s="23">
        <v>9</v>
      </c>
      <c r="B14" s="3"/>
      <c r="C14" s="19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88">
        <f t="shared" si="1"/>
        <v>0</v>
      </c>
      <c r="P14" s="88">
        <f t="shared" si="2"/>
        <v>0</v>
      </c>
      <c r="Q14" s="88">
        <f t="shared" si="3"/>
        <v>0</v>
      </c>
      <c r="R14" s="88">
        <f t="shared" si="4"/>
        <v>0</v>
      </c>
      <c r="S14" s="88">
        <f t="shared" si="5"/>
        <v>0</v>
      </c>
      <c r="T14" s="3"/>
      <c r="U14" s="3">
        <f t="shared" si="6"/>
        <v>0</v>
      </c>
      <c r="W14" s="49" t="s">
        <v>57</v>
      </c>
      <c r="X14" s="55"/>
      <c r="Y14" s="52">
        <f t="shared" si="0"/>
        <v>0</v>
      </c>
    </row>
    <row r="15" spans="1:29" x14ac:dyDescent="0.25">
      <c r="A15" s="23">
        <v>10</v>
      </c>
      <c r="B15" s="3"/>
      <c r="C15" s="19"/>
      <c r="D15" s="3"/>
      <c r="E15" s="3"/>
      <c r="F15" s="22"/>
      <c r="G15" s="3"/>
      <c r="H15" s="3"/>
      <c r="I15" s="3"/>
      <c r="J15" s="3"/>
      <c r="K15" s="3"/>
      <c r="L15" s="3"/>
      <c r="M15" s="3"/>
      <c r="N15" s="3"/>
      <c r="O15" s="88">
        <f t="shared" si="1"/>
        <v>0</v>
      </c>
      <c r="P15" s="88">
        <f t="shared" si="2"/>
        <v>0</v>
      </c>
      <c r="Q15" s="88">
        <f t="shared" si="3"/>
        <v>0</v>
      </c>
      <c r="R15" s="88">
        <f t="shared" si="4"/>
        <v>0</v>
      </c>
      <c r="S15" s="88">
        <f t="shared" si="5"/>
        <v>0</v>
      </c>
      <c r="T15" s="3"/>
      <c r="U15" s="3">
        <f t="shared" si="6"/>
        <v>0</v>
      </c>
      <c r="W15" s="49" t="s">
        <v>37</v>
      </c>
      <c r="X15" s="55"/>
      <c r="Y15" s="52">
        <f t="shared" si="0"/>
        <v>0</v>
      </c>
    </row>
    <row r="16" spans="1:29" x14ac:dyDescent="0.25">
      <c r="A16" s="23">
        <v>11</v>
      </c>
      <c r="B16" s="3"/>
      <c r="C16" s="19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88">
        <f t="shared" si="1"/>
        <v>0</v>
      </c>
      <c r="P16" s="88">
        <f t="shared" si="2"/>
        <v>0</v>
      </c>
      <c r="Q16" s="88">
        <f t="shared" si="3"/>
        <v>0</v>
      </c>
      <c r="R16" s="88">
        <f t="shared" si="4"/>
        <v>0</v>
      </c>
      <c r="S16" s="88">
        <f t="shared" si="5"/>
        <v>0</v>
      </c>
      <c r="T16" s="3"/>
      <c r="U16" s="3">
        <f t="shared" si="6"/>
        <v>0</v>
      </c>
      <c r="W16" s="49" t="s">
        <v>35</v>
      </c>
      <c r="X16" s="55"/>
      <c r="Y16" s="52">
        <f t="shared" si="0"/>
        <v>0</v>
      </c>
    </row>
    <row r="17" spans="1:27" x14ac:dyDescent="0.25">
      <c r="A17" s="23">
        <v>12</v>
      </c>
      <c r="B17" s="3"/>
      <c r="C17" s="19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88">
        <f t="shared" si="1"/>
        <v>0</v>
      </c>
      <c r="P17" s="88">
        <f t="shared" si="2"/>
        <v>0</v>
      </c>
      <c r="Q17" s="88">
        <f t="shared" si="3"/>
        <v>0</v>
      </c>
      <c r="R17" s="88">
        <f t="shared" si="4"/>
        <v>0</v>
      </c>
      <c r="S17" s="88">
        <f t="shared" si="5"/>
        <v>0</v>
      </c>
      <c r="T17" s="3"/>
      <c r="U17" s="3">
        <f t="shared" si="6"/>
        <v>0</v>
      </c>
      <c r="W17" s="49" t="s">
        <v>58</v>
      </c>
      <c r="X17" s="55"/>
      <c r="Y17" s="52">
        <f t="shared" si="0"/>
        <v>0</v>
      </c>
    </row>
    <row r="18" spans="1:27" x14ac:dyDescent="0.25">
      <c r="A18" s="23">
        <v>13</v>
      </c>
      <c r="B18" s="3"/>
      <c r="C18" s="19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88">
        <f t="shared" si="1"/>
        <v>0</v>
      </c>
      <c r="P18" s="88">
        <f t="shared" si="2"/>
        <v>0</v>
      </c>
      <c r="Q18" s="88">
        <f t="shared" si="3"/>
        <v>0</v>
      </c>
      <c r="R18" s="88">
        <f t="shared" si="4"/>
        <v>0</v>
      </c>
      <c r="S18" s="88">
        <f t="shared" si="5"/>
        <v>0</v>
      </c>
      <c r="T18" s="3"/>
      <c r="U18" s="3">
        <f t="shared" si="6"/>
        <v>0</v>
      </c>
      <c r="W18" s="49" t="s">
        <v>70</v>
      </c>
      <c r="X18" s="55"/>
      <c r="Y18" s="52">
        <f t="shared" si="0"/>
        <v>0</v>
      </c>
    </row>
    <row r="19" spans="1:27" x14ac:dyDescent="0.25">
      <c r="A19" s="23">
        <v>14</v>
      </c>
      <c r="B19" s="3"/>
      <c r="C19" s="19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88">
        <f t="shared" si="1"/>
        <v>0</v>
      </c>
      <c r="P19" s="88">
        <f t="shared" si="2"/>
        <v>0</v>
      </c>
      <c r="Q19" s="88">
        <f t="shared" si="3"/>
        <v>0</v>
      </c>
      <c r="R19" s="88">
        <f t="shared" si="4"/>
        <v>0</v>
      </c>
      <c r="S19" s="88">
        <f t="shared" si="5"/>
        <v>0</v>
      </c>
      <c r="T19" s="3"/>
      <c r="U19" s="3">
        <f t="shared" si="6"/>
        <v>0</v>
      </c>
      <c r="W19" s="49" t="s">
        <v>91</v>
      </c>
      <c r="X19" s="140">
        <f>(X18-X21)*14%</f>
        <v>0</v>
      </c>
      <c r="Y19" s="52">
        <f>X19</f>
        <v>0</v>
      </c>
    </row>
    <row r="20" spans="1:27" x14ac:dyDescent="0.25">
      <c r="A20" s="23">
        <v>15</v>
      </c>
      <c r="B20" s="3"/>
      <c r="C20" s="19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88">
        <f t="shared" si="1"/>
        <v>0</v>
      </c>
      <c r="P20" s="88">
        <f t="shared" si="2"/>
        <v>0</v>
      </c>
      <c r="Q20" s="88">
        <f t="shared" si="3"/>
        <v>0</v>
      </c>
      <c r="R20" s="88">
        <f t="shared" si="4"/>
        <v>0</v>
      </c>
      <c r="S20" s="88">
        <f t="shared" si="5"/>
        <v>0</v>
      </c>
      <c r="T20" s="3"/>
      <c r="U20" s="3">
        <f t="shared" si="6"/>
        <v>0</v>
      </c>
      <c r="W20" s="49" t="s">
        <v>42</v>
      </c>
      <c r="X20" s="55"/>
      <c r="Y20" s="52">
        <f t="shared" si="0"/>
        <v>0</v>
      </c>
      <c r="AA20" s="1"/>
    </row>
    <row r="21" spans="1:27" ht="15.75" thickBot="1" x14ac:dyDescent="0.3">
      <c r="A21" s="23">
        <v>16</v>
      </c>
      <c r="B21" s="3"/>
      <c r="C21" s="19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88">
        <f t="shared" si="1"/>
        <v>0</v>
      </c>
      <c r="P21" s="88">
        <f t="shared" si="2"/>
        <v>0</v>
      </c>
      <c r="Q21" s="88">
        <f t="shared" si="3"/>
        <v>0</v>
      </c>
      <c r="R21" s="88">
        <f t="shared" si="4"/>
        <v>0</v>
      </c>
      <c r="S21" s="88">
        <f t="shared" si="5"/>
        <v>0</v>
      </c>
      <c r="T21" s="3"/>
      <c r="U21" s="3">
        <f t="shared" si="6"/>
        <v>0</v>
      </c>
      <c r="W21" s="50" t="s">
        <v>43</v>
      </c>
      <c r="X21" s="56">
        <f>X3+X5+X6+X7+X8+X9+X11+X12+X14+X15++X16+X17+X18+X20</f>
        <v>0</v>
      </c>
      <c r="Y21" s="56">
        <f>Y3+Y5+Y6+Y7+Y8+Y9+Y11+Y12+Y14+Y15++Y16+Y17+Y18+Y20</f>
        <v>-3486.87</v>
      </c>
      <c r="Z21" s="1"/>
      <c r="AA21" s="1"/>
    </row>
    <row r="22" spans="1:27" ht="15.75" thickBot="1" x14ac:dyDescent="0.3">
      <c r="A22" s="23">
        <v>17</v>
      </c>
      <c r="B22" s="3"/>
      <c r="C22" s="19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88">
        <f t="shared" si="1"/>
        <v>0</v>
      </c>
      <c r="P22" s="88">
        <f t="shared" si="2"/>
        <v>0</v>
      </c>
      <c r="Q22" s="88">
        <f t="shared" si="3"/>
        <v>0</v>
      </c>
      <c r="R22" s="88">
        <f t="shared" si="4"/>
        <v>0</v>
      </c>
      <c r="S22" s="88">
        <f t="shared" si="5"/>
        <v>0</v>
      </c>
      <c r="T22" s="3"/>
      <c r="U22" s="3">
        <f t="shared" si="6"/>
        <v>0</v>
      </c>
      <c r="W22" s="50" t="s">
        <v>92</v>
      </c>
      <c r="X22" s="56">
        <f>X3+X5+X6+X7+X8+X9+X11+X12+X14+X15+X16+X17+X18+X19+X20</f>
        <v>0</v>
      </c>
      <c r="Y22" s="56">
        <f>Y3+Y5+Y6+Y7+Y8+Y9+Y11+Y12+Y14+Y15+Y16+Y17+Y18+Y19+Y20</f>
        <v>-3486.87</v>
      </c>
    </row>
    <row r="23" spans="1:27" x14ac:dyDescent="0.25">
      <c r="A23" s="23">
        <v>18</v>
      </c>
      <c r="B23" s="3"/>
      <c r="C23" s="19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88">
        <f t="shared" si="1"/>
        <v>0</v>
      </c>
      <c r="P23" s="88">
        <f t="shared" si="2"/>
        <v>0</v>
      </c>
      <c r="Q23" s="88">
        <f t="shared" si="3"/>
        <v>0</v>
      </c>
      <c r="R23" s="88">
        <f t="shared" si="4"/>
        <v>0</v>
      </c>
      <c r="S23" s="88">
        <f t="shared" si="5"/>
        <v>0</v>
      </c>
      <c r="T23" s="3"/>
      <c r="U23" s="3">
        <f t="shared" si="6"/>
        <v>0</v>
      </c>
    </row>
    <row r="24" spans="1:27" x14ac:dyDescent="0.25">
      <c r="A24" s="23">
        <v>19</v>
      </c>
      <c r="B24" s="3"/>
      <c r="C24" s="19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88">
        <f t="shared" si="1"/>
        <v>0</v>
      </c>
      <c r="P24" s="88">
        <f t="shared" si="2"/>
        <v>0</v>
      </c>
      <c r="Q24" s="88">
        <f t="shared" si="3"/>
        <v>0</v>
      </c>
      <c r="R24" s="88">
        <f t="shared" si="4"/>
        <v>0</v>
      </c>
      <c r="S24" s="88">
        <f t="shared" si="5"/>
        <v>0</v>
      </c>
      <c r="T24" s="3"/>
      <c r="U24" s="3">
        <f t="shared" si="6"/>
        <v>0</v>
      </c>
      <c r="W24" s="13" t="s">
        <v>44</v>
      </c>
      <c r="X24" s="36">
        <f>X6+X5+X12+X14</f>
        <v>0</v>
      </c>
      <c r="Y24" s="36">
        <f>Y6+Y5+Y12+Y14</f>
        <v>0</v>
      </c>
    </row>
    <row r="25" spans="1:27" x14ac:dyDescent="0.25">
      <c r="A25" s="23">
        <v>20</v>
      </c>
      <c r="B25" s="3"/>
      <c r="C25" s="19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88">
        <f t="shared" si="1"/>
        <v>0</v>
      </c>
      <c r="P25" s="88">
        <f t="shared" si="2"/>
        <v>0</v>
      </c>
      <c r="Q25" s="88">
        <f t="shared" si="3"/>
        <v>0</v>
      </c>
      <c r="R25" s="88">
        <f t="shared" si="4"/>
        <v>0</v>
      </c>
      <c r="S25" s="88">
        <f t="shared" si="5"/>
        <v>0</v>
      </c>
      <c r="T25" s="3"/>
      <c r="U25" s="3">
        <f t="shared" si="6"/>
        <v>0</v>
      </c>
    </row>
    <row r="26" spans="1:27" x14ac:dyDescent="0.25">
      <c r="A26" s="23">
        <v>21</v>
      </c>
      <c r="B26" s="3"/>
      <c r="C26" s="1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88">
        <f t="shared" si="1"/>
        <v>0</v>
      </c>
      <c r="P26" s="88">
        <f t="shared" si="2"/>
        <v>0</v>
      </c>
      <c r="Q26" s="88">
        <f t="shared" si="3"/>
        <v>0</v>
      </c>
      <c r="R26" s="88">
        <f t="shared" si="4"/>
        <v>0</v>
      </c>
      <c r="S26" s="88">
        <f t="shared" si="5"/>
        <v>0</v>
      </c>
      <c r="T26" s="3"/>
      <c r="U26" s="3">
        <f t="shared" si="6"/>
        <v>0</v>
      </c>
      <c r="W26" s="1"/>
    </row>
    <row r="27" spans="1:27" x14ac:dyDescent="0.25">
      <c r="A27" s="23">
        <v>22</v>
      </c>
      <c r="B27" s="3"/>
      <c r="C27" s="19"/>
      <c r="D27" s="3"/>
      <c r="E27" s="3"/>
      <c r="F27" s="22"/>
      <c r="G27" s="3"/>
      <c r="H27" s="3"/>
      <c r="I27" s="3"/>
      <c r="J27" s="3"/>
      <c r="K27" s="3"/>
      <c r="L27" s="3"/>
      <c r="M27" s="3"/>
      <c r="N27" s="3"/>
      <c r="O27" s="88">
        <f t="shared" si="1"/>
        <v>0</v>
      </c>
      <c r="P27" s="88">
        <f t="shared" si="2"/>
        <v>0</v>
      </c>
      <c r="Q27" s="88">
        <f t="shared" si="3"/>
        <v>0</v>
      </c>
      <c r="R27" s="88">
        <f t="shared" si="4"/>
        <v>0</v>
      </c>
      <c r="S27" s="88">
        <f t="shared" si="5"/>
        <v>0</v>
      </c>
      <c r="T27" s="3"/>
      <c r="U27" s="3">
        <f t="shared" si="6"/>
        <v>0</v>
      </c>
      <c r="W27" s="11" t="s">
        <v>45</v>
      </c>
      <c r="X27" s="42">
        <f>X21*X30</f>
        <v>0</v>
      </c>
      <c r="Y27" s="12">
        <f>Y21*50%</f>
        <v>-1743.4349999999999</v>
      </c>
    </row>
    <row r="28" spans="1:27" x14ac:dyDescent="0.25">
      <c r="A28" s="23">
        <v>23</v>
      </c>
      <c r="B28" s="3"/>
      <c r="C28" s="19"/>
      <c r="D28" s="3"/>
      <c r="E28" s="3"/>
      <c r="F28" s="22"/>
      <c r="G28" s="3"/>
      <c r="H28" s="3"/>
      <c r="I28" s="3"/>
      <c r="J28" s="3"/>
      <c r="K28" s="3"/>
      <c r="L28" s="3"/>
      <c r="M28" s="3"/>
      <c r="N28" s="3"/>
      <c r="O28" s="88">
        <f t="shared" si="1"/>
        <v>0</v>
      </c>
      <c r="P28" s="88">
        <f t="shared" si="2"/>
        <v>0</v>
      </c>
      <c r="Q28" s="88">
        <f t="shared" si="3"/>
        <v>0</v>
      </c>
      <c r="R28" s="88">
        <f t="shared" si="4"/>
        <v>0</v>
      </c>
      <c r="S28" s="88">
        <f t="shared" si="5"/>
        <v>0</v>
      </c>
      <c r="T28" s="3"/>
      <c r="U28" s="3">
        <f t="shared" si="6"/>
        <v>0</v>
      </c>
      <c r="W28" s="11" t="s">
        <v>46</v>
      </c>
      <c r="X28" s="42">
        <f>X21*X31</f>
        <v>0</v>
      </c>
      <c r="Y28" s="12">
        <f>Y21*50%</f>
        <v>-1743.4349999999999</v>
      </c>
    </row>
    <row r="29" spans="1:27" ht="15.75" thickBot="1" x14ac:dyDescent="0.3">
      <c r="A29" s="23">
        <v>24</v>
      </c>
      <c r="B29" s="3"/>
      <c r="C29" s="19"/>
      <c r="D29" s="3"/>
      <c r="E29" s="3"/>
      <c r="F29" s="22"/>
      <c r="G29" s="3"/>
      <c r="H29" s="3"/>
      <c r="I29" s="3"/>
      <c r="J29" s="3"/>
      <c r="K29" s="3"/>
      <c r="L29" s="3"/>
      <c r="M29" s="3"/>
      <c r="N29" s="3"/>
      <c r="O29" s="88">
        <f t="shared" si="1"/>
        <v>0</v>
      </c>
      <c r="P29" s="88">
        <f t="shared" si="2"/>
        <v>0</v>
      </c>
      <c r="Q29" s="88">
        <f t="shared" si="3"/>
        <v>0</v>
      </c>
      <c r="R29" s="88">
        <f t="shared" si="4"/>
        <v>0</v>
      </c>
      <c r="S29" s="88">
        <f t="shared" si="5"/>
        <v>0</v>
      </c>
      <c r="T29" s="3"/>
      <c r="U29" s="3">
        <f t="shared" si="6"/>
        <v>0</v>
      </c>
      <c r="Y29" s="1"/>
    </row>
    <row r="30" spans="1:27" ht="15.75" thickBot="1" x14ac:dyDescent="0.3">
      <c r="A30" s="23">
        <v>25</v>
      </c>
      <c r="B30" s="3"/>
      <c r="C30" s="19"/>
      <c r="D30" s="3"/>
      <c r="E30" s="3"/>
      <c r="F30" s="22"/>
      <c r="G30" s="3"/>
      <c r="H30" s="3"/>
      <c r="I30" s="3"/>
      <c r="J30" s="3"/>
      <c r="K30" s="3"/>
      <c r="L30" s="3"/>
      <c r="M30" s="3"/>
      <c r="N30" s="3"/>
      <c r="O30" s="88">
        <f t="shared" si="1"/>
        <v>0</v>
      </c>
      <c r="P30" s="88">
        <f t="shared" si="2"/>
        <v>0</v>
      </c>
      <c r="Q30" s="88">
        <f t="shared" si="3"/>
        <v>0</v>
      </c>
      <c r="R30" s="88">
        <f t="shared" si="4"/>
        <v>0</v>
      </c>
      <c r="S30" s="88">
        <f t="shared" si="5"/>
        <v>0</v>
      </c>
      <c r="T30" s="3"/>
      <c r="U30" s="3">
        <f t="shared" si="6"/>
        <v>0</v>
      </c>
      <c r="W30" s="46" t="s">
        <v>73</v>
      </c>
      <c r="X30" s="47">
        <v>0.5</v>
      </c>
    </row>
    <row r="31" spans="1:27" ht="15.75" thickBot="1" x14ac:dyDescent="0.3">
      <c r="A31" s="23">
        <v>26</v>
      </c>
      <c r="B31" s="3"/>
      <c r="C31" s="19"/>
      <c r="D31" s="3"/>
      <c r="E31" s="3"/>
      <c r="F31" s="22"/>
      <c r="G31" s="3"/>
      <c r="H31" s="3"/>
      <c r="I31" s="3"/>
      <c r="J31" s="3"/>
      <c r="K31" s="3"/>
      <c r="L31" s="3"/>
      <c r="M31" s="3"/>
      <c r="N31" s="3"/>
      <c r="O31" s="88">
        <f t="shared" si="1"/>
        <v>0</v>
      </c>
      <c r="P31" s="88">
        <f t="shared" si="2"/>
        <v>0</v>
      </c>
      <c r="Q31" s="88">
        <f t="shared" si="3"/>
        <v>0</v>
      </c>
      <c r="R31" s="88">
        <f t="shared" si="4"/>
        <v>0</v>
      </c>
      <c r="S31" s="88">
        <f t="shared" si="5"/>
        <v>0</v>
      </c>
      <c r="T31" s="3"/>
      <c r="U31" s="3">
        <f t="shared" si="6"/>
        <v>0</v>
      </c>
      <c r="W31" s="46" t="s">
        <v>84</v>
      </c>
      <c r="X31" s="48">
        <v>0.5</v>
      </c>
      <c r="Z31" s="37"/>
      <c r="AA31" s="38"/>
    </row>
    <row r="32" spans="1:27" ht="15.75" thickBot="1" x14ac:dyDescent="0.3">
      <c r="A32" s="23">
        <v>27</v>
      </c>
      <c r="B32" s="3"/>
      <c r="C32" s="19"/>
      <c r="D32" s="3"/>
      <c r="E32" s="3"/>
      <c r="F32" s="22"/>
      <c r="G32" s="3"/>
      <c r="H32" s="3"/>
      <c r="I32" s="3"/>
      <c r="J32" s="3"/>
      <c r="K32" s="3"/>
      <c r="L32" s="3"/>
      <c r="M32" s="3"/>
      <c r="N32" s="3"/>
      <c r="O32" s="88">
        <f t="shared" si="1"/>
        <v>0</v>
      </c>
      <c r="P32" s="88">
        <f t="shared" si="2"/>
        <v>0</v>
      </c>
      <c r="Q32" s="88">
        <f t="shared" si="3"/>
        <v>0</v>
      </c>
      <c r="R32" s="88">
        <f t="shared" si="4"/>
        <v>0</v>
      </c>
      <c r="S32" s="88">
        <f t="shared" si="5"/>
        <v>0</v>
      </c>
      <c r="T32" s="3"/>
      <c r="U32" s="3">
        <f t="shared" si="6"/>
        <v>0</v>
      </c>
      <c r="W32" s="1"/>
      <c r="Z32" s="44"/>
      <c r="AA32" s="45"/>
    </row>
    <row r="33" spans="1:28" s="1" customFormat="1" x14ac:dyDescent="0.25">
      <c r="A33" s="23">
        <v>28</v>
      </c>
      <c r="B33" s="3"/>
      <c r="C33" s="19"/>
      <c r="D33" s="3"/>
      <c r="E33" s="3"/>
      <c r="F33" s="22"/>
      <c r="G33" s="3"/>
      <c r="H33" s="3"/>
      <c r="I33" s="3"/>
      <c r="J33" s="3"/>
      <c r="K33" s="3"/>
      <c r="L33" s="3"/>
      <c r="M33" s="3"/>
      <c r="N33" s="3"/>
      <c r="O33" s="88">
        <f t="shared" si="1"/>
        <v>0</v>
      </c>
      <c r="P33" s="88">
        <f t="shared" si="2"/>
        <v>0</v>
      </c>
      <c r="Q33" s="88">
        <f t="shared" si="3"/>
        <v>0</v>
      </c>
      <c r="R33" s="88">
        <f t="shared" si="4"/>
        <v>0</v>
      </c>
      <c r="S33" s="88">
        <f t="shared" si="5"/>
        <v>0</v>
      </c>
      <c r="T33" s="3"/>
      <c r="U33" s="3">
        <f t="shared" si="6"/>
        <v>0</v>
      </c>
      <c r="V33" s="6"/>
      <c r="X33" s="89"/>
      <c r="Y33" s="39" t="s">
        <v>71</v>
      </c>
      <c r="Z33" s="6"/>
      <c r="AA33" s="6"/>
      <c r="AB33" s="6"/>
    </row>
    <row r="34" spans="1:28" s="1" customFormat="1" ht="15.75" thickBot="1" x14ac:dyDescent="0.3">
      <c r="A34" s="23">
        <v>29</v>
      </c>
      <c r="B34" s="3"/>
      <c r="C34" s="19"/>
      <c r="D34" s="3"/>
      <c r="E34" s="3"/>
      <c r="F34" s="22"/>
      <c r="G34" s="3"/>
      <c r="H34" s="3"/>
      <c r="I34" s="3"/>
      <c r="J34" s="3"/>
      <c r="K34" s="3"/>
      <c r="L34" s="3"/>
      <c r="M34" s="3"/>
      <c r="N34" s="3"/>
      <c r="O34" s="88">
        <f t="shared" si="1"/>
        <v>0</v>
      </c>
      <c r="P34" s="88">
        <f t="shared" si="2"/>
        <v>0</v>
      </c>
      <c r="Q34" s="88">
        <f t="shared" si="3"/>
        <v>0</v>
      </c>
      <c r="R34" s="88">
        <f t="shared" si="4"/>
        <v>0</v>
      </c>
      <c r="S34" s="88">
        <f t="shared" si="5"/>
        <v>0</v>
      </c>
      <c r="T34" s="3"/>
      <c r="U34" s="3">
        <f t="shared" si="6"/>
        <v>0</v>
      </c>
      <c r="V34" s="6"/>
      <c r="X34" s="41"/>
      <c r="Y34" s="43" t="s">
        <v>72</v>
      </c>
      <c r="Z34" s="6"/>
      <c r="AA34" s="6"/>
      <c r="AB34" s="6"/>
    </row>
    <row r="35" spans="1:28" s="1" customFormat="1" x14ac:dyDescent="0.25">
      <c r="A35" s="20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Y35" s="6"/>
      <c r="Z35" s="6"/>
      <c r="AA35" s="6"/>
      <c r="AB35" s="6"/>
    </row>
    <row r="36" spans="1:28" s="1" customFormat="1" x14ac:dyDescent="0.25">
      <c r="A36" s="139" t="s">
        <v>47</v>
      </c>
      <c r="B36" s="139"/>
      <c r="C36" s="21">
        <f>SUM(C4:C34)</f>
        <v>0</v>
      </c>
      <c r="D36" s="21">
        <f t="shared" ref="D36:I36" si="7">SUM(D4:D34)</f>
        <v>0</v>
      </c>
      <c r="E36" s="21">
        <f t="shared" si="7"/>
        <v>0</v>
      </c>
      <c r="F36" s="21">
        <f t="shared" si="7"/>
        <v>0</v>
      </c>
      <c r="G36" s="21">
        <f t="shared" si="7"/>
        <v>0</v>
      </c>
      <c r="H36" s="21">
        <f t="shared" si="7"/>
        <v>0</v>
      </c>
      <c r="I36" s="21">
        <f t="shared" si="7"/>
        <v>0</v>
      </c>
      <c r="J36" s="18"/>
      <c r="K36" s="1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Y36" s="6"/>
      <c r="Z36" s="6"/>
      <c r="AA36" s="6"/>
      <c r="AB36" s="6"/>
    </row>
    <row r="37" spans="1:28" s="1" customFormat="1" x14ac:dyDescent="0.25">
      <c r="A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Y37" s="6"/>
      <c r="Z37" s="6"/>
      <c r="AA37" s="6"/>
      <c r="AB37" s="6"/>
    </row>
    <row r="38" spans="1:28" s="1" customFormat="1" x14ac:dyDescent="0.25">
      <c r="A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Y38" s="6"/>
      <c r="Z38" s="6"/>
      <c r="AA38" s="6"/>
      <c r="AB38" s="6"/>
    </row>
    <row r="39" spans="1:28" s="1" customFormat="1" x14ac:dyDescent="0.25">
      <c r="A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Y39" s="6"/>
      <c r="Z39" s="6"/>
      <c r="AA39" s="6"/>
      <c r="AB39" s="6"/>
    </row>
    <row r="465" spans="25:25" x14ac:dyDescent="0.25">
      <c r="Y465" s="1"/>
    </row>
  </sheetData>
  <mergeCells count="2">
    <mergeCell ref="A1:U2"/>
    <mergeCell ref="A36:B36"/>
  </mergeCells>
  <pageMargins left="0.7" right="0.7" top="0.75" bottom="0.75" header="0.3" footer="0.3"/>
  <pageSetup paperSize="25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48765-D42C-42DD-AAD8-61319BC9D4E7}">
  <dimension ref="A1:AB464"/>
  <sheetViews>
    <sheetView topLeftCell="F1" workbookViewId="0">
      <selection activeCell="Y7" sqref="Y7"/>
    </sheetView>
  </sheetViews>
  <sheetFormatPr defaultRowHeight="15" x14ac:dyDescent="0.25"/>
  <cols>
    <col min="1" max="1" width="4.28515625" style="6" bestFit="1" customWidth="1"/>
    <col min="2" max="2" width="15.28515625" style="1" bestFit="1" customWidth="1"/>
    <col min="3" max="3" width="15.85546875" style="6" bestFit="1" customWidth="1"/>
    <col min="4" max="4" width="16.85546875" style="6" bestFit="1" customWidth="1"/>
    <col min="5" max="9" width="16.85546875" style="6" customWidth="1"/>
    <col min="10" max="10" width="14.28515625" style="6" bestFit="1" customWidth="1"/>
    <col min="11" max="12" width="12.28515625" style="6" bestFit="1" customWidth="1"/>
    <col min="13" max="13" width="12.5703125" style="6" bestFit="1" customWidth="1"/>
    <col min="14" max="14" width="12.5703125" style="6" customWidth="1"/>
    <col min="15" max="15" width="9.42578125" style="6" bestFit="1" customWidth="1"/>
    <col min="16" max="16" width="11.28515625" style="6" bestFit="1" customWidth="1"/>
    <col min="17" max="17" width="15.140625" style="6" bestFit="1" customWidth="1"/>
    <col min="18" max="19" width="8.42578125" style="6" bestFit="1" customWidth="1"/>
    <col min="20" max="20" width="14.5703125" style="6" bestFit="1" customWidth="1"/>
    <col min="21" max="21" width="19" style="6" bestFit="1" customWidth="1"/>
    <col min="22" max="22" width="15.85546875" style="6" customWidth="1"/>
    <col min="23" max="23" width="28.85546875" style="6" bestFit="1" customWidth="1"/>
    <col min="24" max="24" width="11.7109375" style="1" bestFit="1" customWidth="1"/>
    <col min="25" max="25" width="11.7109375" style="6" bestFit="1" customWidth="1"/>
    <col min="26" max="26" width="15.28515625" style="6" bestFit="1" customWidth="1"/>
    <col min="27" max="27" width="28.85546875" style="6" customWidth="1"/>
    <col min="28" max="28" width="15.85546875" style="6" customWidth="1"/>
    <col min="29" max="16384" width="9.140625" style="6"/>
  </cols>
  <sheetData>
    <row r="1" spans="1:28" ht="15.75" thickBot="1" x14ac:dyDescent="0.3">
      <c r="A1" s="138" t="s">
        <v>59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</row>
    <row r="2" spans="1:28" x14ac:dyDescent="0.25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W2" s="62"/>
      <c r="X2" s="63" t="s">
        <v>49</v>
      </c>
      <c r="Y2" s="64" t="s">
        <v>50</v>
      </c>
      <c r="AB2" s="1"/>
    </row>
    <row r="3" spans="1:28" x14ac:dyDescent="0.25">
      <c r="A3" s="9" t="s">
        <v>21</v>
      </c>
      <c r="B3" s="7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9" t="s">
        <v>31</v>
      </c>
      <c r="L3" s="8" t="s">
        <v>32</v>
      </c>
      <c r="M3" s="8" t="s">
        <v>33</v>
      </c>
      <c r="N3" s="8" t="s">
        <v>94</v>
      </c>
      <c r="O3" s="8" t="s">
        <v>34</v>
      </c>
      <c r="P3" s="8" t="s">
        <v>58</v>
      </c>
      <c r="Q3" s="8" t="s">
        <v>35</v>
      </c>
      <c r="R3" s="8" t="s">
        <v>36</v>
      </c>
      <c r="S3" s="8" t="s">
        <v>37</v>
      </c>
      <c r="T3" s="8" t="s">
        <v>38</v>
      </c>
      <c r="U3" s="9" t="s">
        <v>39</v>
      </c>
      <c r="W3" s="49" t="s">
        <v>17</v>
      </c>
      <c r="X3" s="51">
        <f>SUM(C35:I35)</f>
        <v>0</v>
      </c>
      <c r="Y3" s="51">
        <f>X3</f>
        <v>0</v>
      </c>
      <c r="AA3" s="60" t="s">
        <v>75</v>
      </c>
      <c r="AB3" s="60" t="s">
        <v>74</v>
      </c>
    </row>
    <row r="4" spans="1:28" x14ac:dyDescent="0.25">
      <c r="A4" s="23">
        <v>30</v>
      </c>
      <c r="B4" s="19"/>
      <c r="C4" s="4"/>
      <c r="D4" s="4"/>
      <c r="E4" s="4"/>
      <c r="F4" s="4"/>
      <c r="G4" s="4"/>
      <c r="H4" s="4"/>
      <c r="I4" s="4"/>
      <c r="J4" s="4"/>
      <c r="K4" s="10"/>
      <c r="L4" s="3"/>
      <c r="M4" s="3"/>
      <c r="N4" s="3"/>
      <c r="O4" s="88">
        <f>$X$18/29</f>
        <v>0</v>
      </c>
      <c r="P4" s="88">
        <f>$X$17/29</f>
        <v>0</v>
      </c>
      <c r="Q4" s="88">
        <f>$X$16/29</f>
        <v>0</v>
      </c>
      <c r="R4" s="88">
        <f>$X$20/29</f>
        <v>0</v>
      </c>
      <c r="S4" s="88">
        <f>$X$15/29</f>
        <v>0</v>
      </c>
      <c r="T4" s="3"/>
      <c r="U4" s="3">
        <f>C4+B4+K4+L4+M4+O4+P4+Q4+R4+S4+T4+D4+E4+F4+G4+I4+H4</f>
        <v>0</v>
      </c>
      <c r="W4" s="49" t="s">
        <v>40</v>
      </c>
      <c r="X4" s="53">
        <v>0.04</v>
      </c>
      <c r="Y4" s="53"/>
      <c r="AA4" s="58" t="e">
        <f>-(X3/(X6+X7))</f>
        <v>#DIV/0!</v>
      </c>
      <c r="AB4" s="59" t="e">
        <f>IF($AA$4 &gt; 12, "⭐ Excelente", IF($AA$4 &gt;= 6, "✅ Saudável", IF($AA$4 &lt; 5, "🛑 Perigo", "⚠️ Atenção")))</f>
        <v>#DIV/0!</v>
      </c>
    </row>
    <row r="5" spans="1:28" x14ac:dyDescent="0.25">
      <c r="A5" s="23">
        <v>31</v>
      </c>
      <c r="B5" s="19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88">
        <f t="shared" ref="O5:O33" si="0">$X$18/29</f>
        <v>0</v>
      </c>
      <c r="P5" s="88">
        <f t="shared" ref="P5:P33" si="1">$X$17/29</f>
        <v>0</v>
      </c>
      <c r="Q5" s="88">
        <f t="shared" ref="Q5:Q33" si="2">$X$16/29</f>
        <v>0</v>
      </c>
      <c r="R5" s="88">
        <f t="shared" ref="R5:R33" si="3">$X$20/29</f>
        <v>0</v>
      </c>
      <c r="S5" s="88">
        <f t="shared" ref="S5:S33" si="4">$X$15/29</f>
        <v>0</v>
      </c>
      <c r="T5" s="3"/>
      <c r="U5" s="3">
        <f t="shared" ref="U5:U33" si="5">C5+B5+K5+L5+M5+O5+P5+Q5+R5+S5+T5+D5+E5+F5+G5+I5+H5</f>
        <v>0</v>
      </c>
      <c r="W5" s="49" t="s">
        <v>51</v>
      </c>
      <c r="X5" s="51">
        <f>SUM(B4:B33)</f>
        <v>0</v>
      </c>
      <c r="Y5" s="52"/>
      <c r="Z5" s="1"/>
    </row>
    <row r="6" spans="1:28" x14ac:dyDescent="0.25">
      <c r="A6" s="23">
        <v>1</v>
      </c>
      <c r="B6" s="19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88">
        <f t="shared" si="0"/>
        <v>0</v>
      </c>
      <c r="P6" s="88">
        <f t="shared" si="1"/>
        <v>0</v>
      </c>
      <c r="Q6" s="88">
        <f t="shared" si="2"/>
        <v>0</v>
      </c>
      <c r="R6" s="88">
        <f t="shared" si="3"/>
        <v>0</v>
      </c>
      <c r="S6" s="88">
        <f t="shared" si="4"/>
        <v>0</v>
      </c>
      <c r="T6" s="3"/>
      <c r="U6" s="3">
        <f t="shared" si="5"/>
        <v>0</v>
      </c>
      <c r="W6" s="49" t="s">
        <v>52</v>
      </c>
      <c r="X6" s="51">
        <f>SUM(K4:K33)</f>
        <v>0</v>
      </c>
      <c r="Y6" s="52"/>
      <c r="AA6" s="95" t="s">
        <v>86</v>
      </c>
      <c r="AB6" s="94" t="str">
        <f>IFERROR(ABS(SUM(X14:X20)) / ((X3 - ABS(SUM(X5:X12))) / X3), "")</f>
        <v/>
      </c>
    </row>
    <row r="7" spans="1:28" x14ac:dyDescent="0.25">
      <c r="A7" s="23">
        <v>2</v>
      </c>
      <c r="B7" s="19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88">
        <f t="shared" si="0"/>
        <v>0</v>
      </c>
      <c r="P7" s="88">
        <f t="shared" si="1"/>
        <v>0</v>
      </c>
      <c r="Q7" s="88">
        <f t="shared" si="2"/>
        <v>0</v>
      </c>
      <c r="R7" s="88">
        <f t="shared" si="3"/>
        <v>0</v>
      </c>
      <c r="S7" s="88">
        <f t="shared" si="4"/>
        <v>0</v>
      </c>
      <c r="T7" s="3"/>
      <c r="U7" s="3">
        <f t="shared" si="5"/>
        <v>0</v>
      </c>
      <c r="W7" s="49" t="s">
        <v>53</v>
      </c>
      <c r="X7" s="55"/>
      <c r="Y7" s="55"/>
    </row>
    <row r="8" spans="1:28" x14ac:dyDescent="0.25">
      <c r="A8" s="23">
        <v>3</v>
      </c>
      <c r="B8" s="19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88">
        <f t="shared" si="0"/>
        <v>0</v>
      </c>
      <c r="P8" s="88">
        <f t="shared" si="1"/>
        <v>0</v>
      </c>
      <c r="Q8" s="88">
        <f t="shared" si="2"/>
        <v>0</v>
      </c>
      <c r="R8" s="88">
        <f t="shared" si="3"/>
        <v>0</v>
      </c>
      <c r="S8" s="88">
        <f t="shared" si="4"/>
        <v>0</v>
      </c>
      <c r="T8" s="3"/>
      <c r="U8" s="3">
        <f t="shared" si="5"/>
        <v>0</v>
      </c>
      <c r="W8" s="49" t="s">
        <v>41</v>
      </c>
      <c r="X8" s="51">
        <f>(SUM(J4:J33))/31</f>
        <v>0</v>
      </c>
      <c r="Y8" s="51">
        <f t="shared" ref="Y8:Y18" si="6">X8</f>
        <v>0</v>
      </c>
    </row>
    <row r="9" spans="1:28" x14ac:dyDescent="0.25">
      <c r="A9" s="23">
        <v>4</v>
      </c>
      <c r="B9" s="3"/>
      <c r="C9" s="3"/>
      <c r="D9" s="3"/>
      <c r="E9" s="3"/>
      <c r="F9" s="3"/>
      <c r="G9" s="3"/>
      <c r="H9" s="3"/>
      <c r="I9" s="3"/>
      <c r="J9" s="3"/>
      <c r="K9" s="5"/>
      <c r="L9" s="3"/>
      <c r="M9" s="3"/>
      <c r="N9" s="3"/>
      <c r="O9" s="88">
        <f t="shared" si="0"/>
        <v>0</v>
      </c>
      <c r="P9" s="88">
        <f t="shared" si="1"/>
        <v>0</v>
      </c>
      <c r="Q9" s="88">
        <f t="shared" si="2"/>
        <v>0</v>
      </c>
      <c r="R9" s="88">
        <f t="shared" si="3"/>
        <v>0</v>
      </c>
      <c r="S9" s="88">
        <f t="shared" si="4"/>
        <v>0</v>
      </c>
      <c r="T9" s="3"/>
      <c r="U9" s="3">
        <f t="shared" si="5"/>
        <v>0</v>
      </c>
      <c r="W9" s="49" t="s">
        <v>54</v>
      </c>
      <c r="X9" s="51">
        <f>SUM(L4:L33)</f>
        <v>0</v>
      </c>
      <c r="Y9" s="52">
        <f t="shared" si="6"/>
        <v>0</v>
      </c>
    </row>
    <row r="10" spans="1:28" x14ac:dyDescent="0.25">
      <c r="A10" s="23">
        <v>5</v>
      </c>
      <c r="B10" s="3"/>
      <c r="C10" s="3"/>
      <c r="D10" s="3"/>
      <c r="E10" s="3"/>
      <c r="F10" s="3"/>
      <c r="G10" s="3"/>
      <c r="H10" s="3"/>
      <c r="I10" s="3"/>
      <c r="J10" s="3"/>
      <c r="K10" s="5"/>
      <c r="L10" s="3"/>
      <c r="M10" s="3"/>
      <c r="N10" s="3"/>
      <c r="O10" s="88">
        <f t="shared" si="0"/>
        <v>0</v>
      </c>
      <c r="P10" s="88">
        <f t="shared" si="1"/>
        <v>0</v>
      </c>
      <c r="Q10" s="88">
        <f t="shared" si="2"/>
        <v>0</v>
      </c>
      <c r="R10" s="88">
        <f t="shared" si="3"/>
        <v>0</v>
      </c>
      <c r="S10" s="88">
        <f t="shared" si="4"/>
        <v>0</v>
      </c>
      <c r="T10" s="3"/>
      <c r="U10" s="3">
        <f t="shared" si="5"/>
        <v>0</v>
      </c>
      <c r="W10" s="49" t="s">
        <v>55</v>
      </c>
      <c r="X10" s="51">
        <f>SUM(M4:M33)</f>
        <v>0</v>
      </c>
      <c r="Y10" s="52">
        <f t="shared" si="6"/>
        <v>0</v>
      </c>
    </row>
    <row r="11" spans="1:28" x14ac:dyDescent="0.25">
      <c r="A11" s="23">
        <v>6</v>
      </c>
      <c r="B11" s="19"/>
      <c r="C11" s="3"/>
      <c r="D11" s="3"/>
      <c r="E11" s="3"/>
      <c r="F11" s="3"/>
      <c r="G11" s="3"/>
      <c r="H11" s="3"/>
      <c r="I11" s="3"/>
      <c r="J11" s="3"/>
      <c r="K11" s="5"/>
      <c r="L11" s="3"/>
      <c r="M11" s="3"/>
      <c r="N11" s="3"/>
      <c r="O11" s="88">
        <f t="shared" si="0"/>
        <v>0</v>
      </c>
      <c r="P11" s="88">
        <f t="shared" si="1"/>
        <v>0</v>
      </c>
      <c r="Q11" s="88">
        <f t="shared" si="2"/>
        <v>0</v>
      </c>
      <c r="R11" s="88">
        <f t="shared" si="3"/>
        <v>0</v>
      </c>
      <c r="S11" s="88">
        <f t="shared" si="4"/>
        <v>0</v>
      </c>
      <c r="T11" s="3"/>
      <c r="U11" s="3">
        <f t="shared" si="5"/>
        <v>0</v>
      </c>
      <c r="W11" s="49" t="s">
        <v>94</v>
      </c>
      <c r="X11" s="51">
        <f>SUM(N4:N33)</f>
        <v>0</v>
      </c>
      <c r="Y11" s="52">
        <v>0</v>
      </c>
    </row>
    <row r="12" spans="1:28" x14ac:dyDescent="0.25">
      <c r="A12" s="23">
        <v>7</v>
      </c>
      <c r="B12" s="3"/>
      <c r="C12" s="3"/>
      <c r="D12" s="3"/>
      <c r="E12" s="3"/>
      <c r="F12" s="3"/>
      <c r="G12" s="3"/>
      <c r="H12" s="3"/>
      <c r="I12" s="3"/>
      <c r="J12" s="3"/>
      <c r="K12" s="5"/>
      <c r="L12" s="3"/>
      <c r="M12" s="3"/>
      <c r="N12" s="3"/>
      <c r="O12" s="88">
        <f t="shared" si="0"/>
        <v>0</v>
      </c>
      <c r="P12" s="88">
        <f t="shared" si="1"/>
        <v>0</v>
      </c>
      <c r="Q12" s="88">
        <f t="shared" si="2"/>
        <v>0</v>
      </c>
      <c r="R12" s="88">
        <f t="shared" si="3"/>
        <v>0</v>
      </c>
      <c r="S12" s="88">
        <f t="shared" si="4"/>
        <v>0</v>
      </c>
      <c r="T12" s="3"/>
      <c r="U12" s="3">
        <f t="shared" si="5"/>
        <v>0</v>
      </c>
      <c r="W12" s="49" t="s">
        <v>56</v>
      </c>
      <c r="X12" s="51">
        <f>-X3*X4</f>
        <v>0</v>
      </c>
      <c r="Y12" s="52">
        <f t="shared" si="6"/>
        <v>0</v>
      </c>
    </row>
    <row r="13" spans="1:28" x14ac:dyDescent="0.25">
      <c r="A13" s="23">
        <v>8</v>
      </c>
      <c r="B13" s="3"/>
      <c r="C13" s="3"/>
      <c r="D13" s="3"/>
      <c r="E13" s="3"/>
      <c r="F13" s="3"/>
      <c r="G13" s="3"/>
      <c r="H13" s="3"/>
      <c r="I13" s="3"/>
      <c r="J13" s="3"/>
      <c r="K13" s="5"/>
      <c r="L13" s="3"/>
      <c r="M13" s="3"/>
      <c r="N13" s="3"/>
      <c r="O13" s="88">
        <f t="shared" si="0"/>
        <v>0</v>
      </c>
      <c r="P13" s="88">
        <f t="shared" si="1"/>
        <v>0</v>
      </c>
      <c r="Q13" s="88">
        <f t="shared" si="2"/>
        <v>0</v>
      </c>
      <c r="R13" s="88">
        <f t="shared" si="3"/>
        <v>0</v>
      </c>
      <c r="S13" s="88">
        <f t="shared" si="4"/>
        <v>0</v>
      </c>
      <c r="T13" s="3"/>
      <c r="U13" s="3">
        <f t="shared" si="5"/>
        <v>0</v>
      </c>
      <c r="W13" s="49" t="s">
        <v>57</v>
      </c>
      <c r="X13" s="55"/>
      <c r="Y13" s="52">
        <f t="shared" si="6"/>
        <v>0</v>
      </c>
    </row>
    <row r="14" spans="1:28" x14ac:dyDescent="0.25">
      <c r="A14" s="23">
        <v>9</v>
      </c>
      <c r="B14" s="3"/>
      <c r="C14" s="3"/>
      <c r="D14" s="3"/>
      <c r="E14" s="3"/>
      <c r="F14" s="3"/>
      <c r="G14" s="3"/>
      <c r="H14" s="3"/>
      <c r="I14" s="3"/>
      <c r="J14" s="3"/>
      <c r="K14" s="5"/>
      <c r="L14" s="3"/>
      <c r="M14" s="3"/>
      <c r="N14" s="3"/>
      <c r="O14" s="88">
        <f t="shared" si="0"/>
        <v>0</v>
      </c>
      <c r="P14" s="88">
        <f t="shared" si="1"/>
        <v>0</v>
      </c>
      <c r="Q14" s="88">
        <f t="shared" si="2"/>
        <v>0</v>
      </c>
      <c r="R14" s="88">
        <f t="shared" si="3"/>
        <v>0</v>
      </c>
      <c r="S14" s="88">
        <f t="shared" si="4"/>
        <v>0</v>
      </c>
      <c r="T14" s="3"/>
      <c r="U14" s="3">
        <f t="shared" si="5"/>
        <v>0</v>
      </c>
      <c r="W14" s="49" t="s">
        <v>38</v>
      </c>
      <c r="X14" s="51">
        <f>SUM(T4:T33)</f>
        <v>0</v>
      </c>
      <c r="Y14" s="52">
        <f t="shared" si="6"/>
        <v>0</v>
      </c>
    </row>
    <row r="15" spans="1:28" x14ac:dyDescent="0.25">
      <c r="A15" s="23">
        <v>10</v>
      </c>
      <c r="B15" s="3"/>
      <c r="C15" s="3"/>
      <c r="D15" s="3"/>
      <c r="E15" s="3"/>
      <c r="F15" s="22"/>
      <c r="G15" s="3"/>
      <c r="H15" s="3"/>
      <c r="I15" s="3"/>
      <c r="J15" s="3"/>
      <c r="K15" s="5"/>
      <c r="L15" s="3"/>
      <c r="M15" s="3"/>
      <c r="N15" s="3"/>
      <c r="O15" s="88">
        <f t="shared" si="0"/>
        <v>0</v>
      </c>
      <c r="P15" s="88">
        <f t="shared" si="1"/>
        <v>0</v>
      </c>
      <c r="Q15" s="88">
        <f t="shared" si="2"/>
        <v>0</v>
      </c>
      <c r="R15" s="88">
        <f t="shared" si="3"/>
        <v>0</v>
      </c>
      <c r="S15" s="88">
        <f t="shared" si="4"/>
        <v>0</v>
      </c>
      <c r="T15" s="3"/>
      <c r="U15" s="3">
        <f t="shared" si="5"/>
        <v>0</v>
      </c>
      <c r="W15" s="49" t="s">
        <v>37</v>
      </c>
      <c r="X15" s="55"/>
      <c r="Y15" s="52">
        <f t="shared" si="6"/>
        <v>0</v>
      </c>
    </row>
    <row r="16" spans="1:28" x14ac:dyDescent="0.25">
      <c r="A16" s="23">
        <v>11</v>
      </c>
      <c r="B16" s="3"/>
      <c r="C16" s="3"/>
      <c r="D16" s="3"/>
      <c r="E16" s="3"/>
      <c r="F16" s="3"/>
      <c r="G16" s="3"/>
      <c r="H16" s="3"/>
      <c r="I16" s="3"/>
      <c r="J16" s="3"/>
      <c r="K16" s="5"/>
      <c r="L16" s="3"/>
      <c r="M16" s="3"/>
      <c r="N16" s="3"/>
      <c r="O16" s="88">
        <f t="shared" si="0"/>
        <v>0</v>
      </c>
      <c r="P16" s="88">
        <f t="shared" si="1"/>
        <v>0</v>
      </c>
      <c r="Q16" s="88">
        <f t="shared" si="2"/>
        <v>0</v>
      </c>
      <c r="R16" s="88">
        <f t="shared" si="3"/>
        <v>0</v>
      </c>
      <c r="S16" s="88">
        <f t="shared" si="4"/>
        <v>0</v>
      </c>
      <c r="T16" s="3"/>
      <c r="U16" s="3">
        <f t="shared" si="5"/>
        <v>0</v>
      </c>
      <c r="W16" s="49" t="s">
        <v>35</v>
      </c>
      <c r="X16" s="55"/>
      <c r="Y16" s="52">
        <f t="shared" si="6"/>
        <v>0</v>
      </c>
    </row>
    <row r="17" spans="1:27" x14ac:dyDescent="0.25">
      <c r="A17" s="23">
        <v>12</v>
      </c>
      <c r="B17" s="3"/>
      <c r="C17" s="3"/>
      <c r="D17" s="3"/>
      <c r="E17" s="3"/>
      <c r="F17" s="3"/>
      <c r="G17" s="3"/>
      <c r="H17" s="3"/>
      <c r="I17" s="3"/>
      <c r="J17" s="3"/>
      <c r="K17" s="5"/>
      <c r="L17" s="3"/>
      <c r="M17" s="3"/>
      <c r="N17" s="3"/>
      <c r="O17" s="88">
        <f t="shared" si="0"/>
        <v>0</v>
      </c>
      <c r="P17" s="88">
        <f t="shared" si="1"/>
        <v>0</v>
      </c>
      <c r="Q17" s="88">
        <f t="shared" si="2"/>
        <v>0</v>
      </c>
      <c r="R17" s="88">
        <f t="shared" si="3"/>
        <v>0</v>
      </c>
      <c r="S17" s="88">
        <f t="shared" si="4"/>
        <v>0</v>
      </c>
      <c r="T17" s="3"/>
      <c r="U17" s="3">
        <f t="shared" si="5"/>
        <v>0</v>
      </c>
      <c r="W17" s="49" t="s">
        <v>58</v>
      </c>
      <c r="X17" s="55"/>
      <c r="Y17" s="52">
        <f t="shared" si="6"/>
        <v>0</v>
      </c>
    </row>
    <row r="18" spans="1:27" x14ac:dyDescent="0.25">
      <c r="A18" s="23">
        <v>13</v>
      </c>
      <c r="B18" s="3"/>
      <c r="C18" s="3"/>
      <c r="D18" s="3"/>
      <c r="E18" s="3"/>
      <c r="F18" s="3"/>
      <c r="G18" s="3"/>
      <c r="H18" s="3"/>
      <c r="I18" s="3"/>
      <c r="J18" s="3"/>
      <c r="K18" s="5"/>
      <c r="L18" s="3"/>
      <c r="M18" s="3"/>
      <c r="N18" s="3"/>
      <c r="O18" s="88">
        <f t="shared" si="0"/>
        <v>0</v>
      </c>
      <c r="P18" s="88">
        <f t="shared" si="1"/>
        <v>0</v>
      </c>
      <c r="Q18" s="88">
        <f t="shared" si="2"/>
        <v>0</v>
      </c>
      <c r="R18" s="88">
        <f t="shared" si="3"/>
        <v>0</v>
      </c>
      <c r="S18" s="88">
        <f t="shared" si="4"/>
        <v>0</v>
      </c>
      <c r="T18" s="3"/>
      <c r="U18" s="3">
        <f t="shared" si="5"/>
        <v>0</v>
      </c>
      <c r="W18" s="49" t="s">
        <v>90</v>
      </c>
      <c r="X18" s="55"/>
      <c r="Y18" s="52">
        <f t="shared" si="6"/>
        <v>0</v>
      </c>
      <c r="Z18" s="1"/>
      <c r="AA18" s="1"/>
    </row>
    <row r="19" spans="1:27" x14ac:dyDescent="0.25">
      <c r="A19" s="23">
        <v>14</v>
      </c>
      <c r="B19" s="3"/>
      <c r="C19" s="3"/>
      <c r="D19" s="3"/>
      <c r="E19" s="3"/>
      <c r="F19" s="3"/>
      <c r="G19" s="3"/>
      <c r="H19" s="3"/>
      <c r="I19" s="3"/>
      <c r="J19" s="3"/>
      <c r="K19" s="5"/>
      <c r="L19" s="3"/>
      <c r="M19" s="3"/>
      <c r="N19" s="3"/>
      <c r="O19" s="88">
        <f t="shared" si="0"/>
        <v>0</v>
      </c>
      <c r="P19" s="88">
        <f t="shared" si="1"/>
        <v>0</v>
      </c>
      <c r="Q19" s="88">
        <f t="shared" si="2"/>
        <v>0</v>
      </c>
      <c r="R19" s="88">
        <f t="shared" si="3"/>
        <v>0</v>
      </c>
      <c r="S19" s="88">
        <f t="shared" si="4"/>
        <v>0</v>
      </c>
      <c r="T19" s="3"/>
      <c r="U19" s="3">
        <f t="shared" si="5"/>
        <v>0</v>
      </c>
      <c r="W19" s="49" t="s">
        <v>91</v>
      </c>
      <c r="X19" s="140">
        <f>(X18-X21)*14%</f>
        <v>0</v>
      </c>
      <c r="Y19" s="52">
        <f>(Y18-Y21)*14%</f>
        <v>0</v>
      </c>
    </row>
    <row r="20" spans="1:27" x14ac:dyDescent="0.25">
      <c r="A20" s="23">
        <v>15</v>
      </c>
      <c r="B20" s="3"/>
      <c r="C20" s="3"/>
      <c r="D20" s="3"/>
      <c r="E20" s="3"/>
      <c r="F20" s="3"/>
      <c r="G20" s="3"/>
      <c r="H20" s="3"/>
      <c r="I20" s="3"/>
      <c r="J20" s="3"/>
      <c r="K20" s="5"/>
      <c r="L20" s="3"/>
      <c r="M20" s="3"/>
      <c r="N20" s="3"/>
      <c r="O20" s="88">
        <f t="shared" si="0"/>
        <v>0</v>
      </c>
      <c r="P20" s="88">
        <f t="shared" si="1"/>
        <v>0</v>
      </c>
      <c r="Q20" s="88">
        <f t="shared" si="2"/>
        <v>0</v>
      </c>
      <c r="R20" s="88">
        <f t="shared" si="3"/>
        <v>0</v>
      </c>
      <c r="S20" s="88">
        <f t="shared" si="4"/>
        <v>0</v>
      </c>
      <c r="T20" s="3"/>
      <c r="U20" s="3">
        <f t="shared" si="5"/>
        <v>0</v>
      </c>
      <c r="W20" s="49" t="s">
        <v>42</v>
      </c>
      <c r="X20" s="55"/>
      <c r="Y20" s="52">
        <f>X20</f>
        <v>0</v>
      </c>
    </row>
    <row r="21" spans="1:27" ht="15.75" thickBot="1" x14ac:dyDescent="0.3">
      <c r="A21" s="23">
        <v>16</v>
      </c>
      <c r="B21" s="3"/>
      <c r="C21" s="3"/>
      <c r="D21" s="3"/>
      <c r="E21" s="3"/>
      <c r="F21" s="3"/>
      <c r="G21" s="3"/>
      <c r="H21" s="3"/>
      <c r="I21" s="3"/>
      <c r="J21" s="3"/>
      <c r="K21" s="5"/>
      <c r="L21" s="3"/>
      <c r="M21" s="3"/>
      <c r="N21" s="3"/>
      <c r="O21" s="88">
        <f t="shared" si="0"/>
        <v>0</v>
      </c>
      <c r="P21" s="88">
        <f t="shared" si="1"/>
        <v>0</v>
      </c>
      <c r="Q21" s="88">
        <f t="shared" si="2"/>
        <v>0</v>
      </c>
      <c r="R21" s="88">
        <f t="shared" si="3"/>
        <v>0</v>
      </c>
      <c r="S21" s="88">
        <f t="shared" si="4"/>
        <v>0</v>
      </c>
      <c r="T21" s="3"/>
      <c r="U21" s="3">
        <f t="shared" si="5"/>
        <v>0</v>
      </c>
      <c r="W21" s="50" t="s">
        <v>43</v>
      </c>
      <c r="X21" s="56">
        <f>X3+X5+X6+X9+X10+X12+X13+X15+X16+X17+X18+X20+X7</f>
        <v>0</v>
      </c>
      <c r="Y21" s="35">
        <f>Y3+Y5+Y6+Y7+Y9+Y10+Y12+Y13+Y15+Y16+Y17+Y18+Y20</f>
        <v>0</v>
      </c>
      <c r="Z21" s="1"/>
    </row>
    <row r="22" spans="1:27" ht="15.75" thickBot="1" x14ac:dyDescent="0.3">
      <c r="A22" s="23">
        <v>17</v>
      </c>
      <c r="B22" s="3"/>
      <c r="C22" s="3"/>
      <c r="D22" s="3"/>
      <c r="E22" s="3"/>
      <c r="F22" s="3"/>
      <c r="G22" s="3"/>
      <c r="H22" s="3"/>
      <c r="I22" s="3"/>
      <c r="J22" s="3"/>
      <c r="K22" s="5"/>
      <c r="L22" s="3"/>
      <c r="M22" s="3"/>
      <c r="N22" s="3"/>
      <c r="O22" s="88">
        <f t="shared" si="0"/>
        <v>0</v>
      </c>
      <c r="P22" s="88">
        <f t="shared" si="1"/>
        <v>0</v>
      </c>
      <c r="Q22" s="88">
        <f t="shared" si="2"/>
        <v>0</v>
      </c>
      <c r="R22" s="88">
        <f t="shared" si="3"/>
        <v>0</v>
      </c>
      <c r="S22" s="88">
        <f t="shared" si="4"/>
        <v>0</v>
      </c>
      <c r="T22" s="3"/>
      <c r="U22" s="3">
        <f t="shared" si="5"/>
        <v>0</v>
      </c>
      <c r="W22" s="50" t="s">
        <v>92</v>
      </c>
      <c r="X22" s="56">
        <f>X3+X5+X6+X7+X9+X10+X12+X13+X14+X15+X16+X17+X18+X19+X20</f>
        <v>0</v>
      </c>
      <c r="Y22" s="35">
        <f>Y3+Y5+Y6+Y7+Y9+Y10+Y12+Y13+Y15+Y16+Y17+Y18+Y19+Y20</f>
        <v>0</v>
      </c>
    </row>
    <row r="23" spans="1:27" x14ac:dyDescent="0.25">
      <c r="A23" s="23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88">
        <f t="shared" si="0"/>
        <v>0</v>
      </c>
      <c r="P23" s="88">
        <f t="shared" si="1"/>
        <v>0</v>
      </c>
      <c r="Q23" s="88">
        <f t="shared" si="2"/>
        <v>0</v>
      </c>
      <c r="R23" s="88">
        <f t="shared" si="3"/>
        <v>0</v>
      </c>
      <c r="S23" s="88">
        <f t="shared" si="4"/>
        <v>0</v>
      </c>
      <c r="T23" s="3"/>
      <c r="U23" s="3">
        <f t="shared" si="5"/>
        <v>0</v>
      </c>
    </row>
    <row r="24" spans="1:27" x14ac:dyDescent="0.25">
      <c r="A24" s="23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88">
        <f t="shared" si="0"/>
        <v>0</v>
      </c>
      <c r="P24" s="88">
        <f t="shared" si="1"/>
        <v>0</v>
      </c>
      <c r="Q24" s="88">
        <f t="shared" si="2"/>
        <v>0</v>
      </c>
      <c r="R24" s="88">
        <f t="shared" si="3"/>
        <v>0</v>
      </c>
      <c r="S24" s="88">
        <f t="shared" si="4"/>
        <v>0</v>
      </c>
      <c r="T24" s="3"/>
      <c r="U24" s="3">
        <f t="shared" si="5"/>
        <v>0</v>
      </c>
      <c r="W24" s="13" t="s">
        <v>44</v>
      </c>
      <c r="X24" s="36">
        <f>X6+X5+X14+X13</f>
        <v>0</v>
      </c>
      <c r="Y24" s="36">
        <f>Y6+Y5+Y14+Y13</f>
        <v>0</v>
      </c>
    </row>
    <row r="25" spans="1:27" x14ac:dyDescent="0.25">
      <c r="A25" s="23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88">
        <f t="shared" si="0"/>
        <v>0</v>
      </c>
      <c r="P25" s="88">
        <f t="shared" si="1"/>
        <v>0</v>
      </c>
      <c r="Q25" s="88">
        <f t="shared" si="2"/>
        <v>0</v>
      </c>
      <c r="R25" s="88">
        <f t="shared" si="3"/>
        <v>0</v>
      </c>
      <c r="S25" s="88">
        <f t="shared" si="4"/>
        <v>0</v>
      </c>
      <c r="T25" s="3"/>
      <c r="U25" s="3">
        <f t="shared" si="5"/>
        <v>0</v>
      </c>
    </row>
    <row r="26" spans="1:27" x14ac:dyDescent="0.25">
      <c r="A26" s="23">
        <v>21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88">
        <f t="shared" si="0"/>
        <v>0</v>
      </c>
      <c r="P26" s="88">
        <f t="shared" si="1"/>
        <v>0</v>
      </c>
      <c r="Q26" s="88">
        <f t="shared" si="2"/>
        <v>0</v>
      </c>
      <c r="R26" s="88">
        <f t="shared" si="3"/>
        <v>0</v>
      </c>
      <c r="S26" s="88">
        <f t="shared" si="4"/>
        <v>0</v>
      </c>
      <c r="T26" s="3"/>
      <c r="U26" s="3">
        <f t="shared" si="5"/>
        <v>0</v>
      </c>
      <c r="W26" s="1"/>
      <c r="Z26" s="1"/>
      <c r="AA26" s="1"/>
    </row>
    <row r="27" spans="1:27" x14ac:dyDescent="0.25">
      <c r="A27" s="23">
        <v>22</v>
      </c>
      <c r="B27" s="3"/>
      <c r="C27" s="3"/>
      <c r="D27" s="3"/>
      <c r="E27" s="3"/>
      <c r="F27" s="22"/>
      <c r="G27" s="3"/>
      <c r="H27" s="3"/>
      <c r="I27" s="3"/>
      <c r="J27" s="3"/>
      <c r="K27" s="5"/>
      <c r="L27" s="3"/>
      <c r="M27" s="3"/>
      <c r="N27" s="3"/>
      <c r="O27" s="88">
        <f t="shared" si="0"/>
        <v>0</v>
      </c>
      <c r="P27" s="88">
        <f t="shared" si="1"/>
        <v>0</v>
      </c>
      <c r="Q27" s="88">
        <f t="shared" si="2"/>
        <v>0</v>
      </c>
      <c r="R27" s="88">
        <f t="shared" si="3"/>
        <v>0</v>
      </c>
      <c r="S27" s="88">
        <f t="shared" si="4"/>
        <v>0</v>
      </c>
      <c r="T27" s="3"/>
      <c r="U27" s="3">
        <f t="shared" si="5"/>
        <v>0</v>
      </c>
      <c r="W27" s="11" t="s">
        <v>45</v>
      </c>
      <c r="X27" s="42">
        <f>(X22*X30)</f>
        <v>0</v>
      </c>
      <c r="Y27" s="12">
        <f>Y22*50%</f>
        <v>0</v>
      </c>
      <c r="Z27" s="1"/>
    </row>
    <row r="28" spans="1:27" x14ac:dyDescent="0.25">
      <c r="A28" s="23">
        <v>23</v>
      </c>
      <c r="B28" s="3"/>
      <c r="C28" s="3"/>
      <c r="D28" s="3"/>
      <c r="E28" s="3"/>
      <c r="F28" s="22"/>
      <c r="G28" s="3"/>
      <c r="H28" s="3"/>
      <c r="I28" s="3"/>
      <c r="J28" s="3"/>
      <c r="K28" s="5"/>
      <c r="L28" s="3"/>
      <c r="M28" s="3"/>
      <c r="N28" s="3"/>
      <c r="O28" s="88">
        <f t="shared" si="0"/>
        <v>0</v>
      </c>
      <c r="P28" s="88">
        <f t="shared" si="1"/>
        <v>0</v>
      </c>
      <c r="Q28" s="88">
        <f t="shared" si="2"/>
        <v>0</v>
      </c>
      <c r="R28" s="88">
        <f t="shared" si="3"/>
        <v>0</v>
      </c>
      <c r="S28" s="88">
        <f t="shared" si="4"/>
        <v>0</v>
      </c>
      <c r="T28" s="3"/>
      <c r="U28" s="3">
        <f t="shared" si="5"/>
        <v>0</v>
      </c>
      <c r="W28" s="11" t="s">
        <v>46</v>
      </c>
      <c r="X28" s="42">
        <f>X22*X31</f>
        <v>0</v>
      </c>
      <c r="Y28" s="12">
        <f>Y22*X31</f>
        <v>0</v>
      </c>
      <c r="AA28" s="93"/>
    </row>
    <row r="29" spans="1:27" ht="15.75" thickBot="1" x14ac:dyDescent="0.3">
      <c r="A29" s="23">
        <v>24</v>
      </c>
      <c r="B29" s="3"/>
      <c r="C29" s="3"/>
      <c r="D29" s="3"/>
      <c r="E29" s="3"/>
      <c r="F29" s="22"/>
      <c r="G29" s="3"/>
      <c r="H29" s="3"/>
      <c r="I29" s="3"/>
      <c r="J29" s="3"/>
      <c r="K29" s="5"/>
      <c r="L29" s="3"/>
      <c r="M29" s="3"/>
      <c r="N29" s="3"/>
      <c r="O29" s="88">
        <f t="shared" si="0"/>
        <v>0</v>
      </c>
      <c r="P29" s="88">
        <f t="shared" si="1"/>
        <v>0</v>
      </c>
      <c r="Q29" s="88">
        <f t="shared" si="2"/>
        <v>0</v>
      </c>
      <c r="R29" s="88">
        <f t="shared" si="3"/>
        <v>0</v>
      </c>
      <c r="S29" s="88">
        <f t="shared" si="4"/>
        <v>0</v>
      </c>
      <c r="T29" s="3"/>
      <c r="U29" s="3">
        <f t="shared" si="5"/>
        <v>0</v>
      </c>
      <c r="Y29" s="1"/>
      <c r="Z29" s="1"/>
      <c r="AA29" s="93"/>
    </row>
    <row r="30" spans="1:27" ht="15.75" thickBot="1" x14ac:dyDescent="0.3">
      <c r="A30" s="23">
        <v>25</v>
      </c>
      <c r="B30" s="3"/>
      <c r="C30" s="3"/>
      <c r="D30" s="3"/>
      <c r="E30" s="3"/>
      <c r="F30" s="22"/>
      <c r="G30" s="3"/>
      <c r="H30" s="3"/>
      <c r="I30" s="3"/>
      <c r="J30" s="3"/>
      <c r="K30" s="5"/>
      <c r="L30" s="5"/>
      <c r="M30" s="3"/>
      <c r="N30" s="3"/>
      <c r="O30" s="88">
        <f t="shared" si="0"/>
        <v>0</v>
      </c>
      <c r="P30" s="88">
        <f t="shared" si="1"/>
        <v>0</v>
      </c>
      <c r="Q30" s="88">
        <f t="shared" si="2"/>
        <v>0</v>
      </c>
      <c r="R30" s="88">
        <f t="shared" si="3"/>
        <v>0</v>
      </c>
      <c r="S30" s="88">
        <f t="shared" si="4"/>
        <v>0</v>
      </c>
      <c r="T30" s="3"/>
      <c r="U30" s="3">
        <f t="shared" si="5"/>
        <v>0</v>
      </c>
      <c r="W30" s="46" t="s">
        <v>73</v>
      </c>
      <c r="X30" s="47">
        <v>0.5</v>
      </c>
    </row>
    <row r="31" spans="1:27" ht="15.75" thickBot="1" x14ac:dyDescent="0.3">
      <c r="A31" s="23">
        <v>26</v>
      </c>
      <c r="B31" s="3"/>
      <c r="C31" s="3"/>
      <c r="D31" s="3"/>
      <c r="E31" s="3"/>
      <c r="F31" s="22"/>
      <c r="G31" s="3"/>
      <c r="H31" s="3"/>
      <c r="I31" s="3"/>
      <c r="J31" s="3"/>
      <c r="K31" s="5"/>
      <c r="L31" s="3"/>
      <c r="M31" s="3"/>
      <c r="N31" s="3"/>
      <c r="O31" s="88">
        <f t="shared" si="0"/>
        <v>0</v>
      </c>
      <c r="P31" s="88">
        <f t="shared" si="1"/>
        <v>0</v>
      </c>
      <c r="Q31" s="88">
        <f t="shared" si="2"/>
        <v>0</v>
      </c>
      <c r="R31" s="88">
        <f t="shared" si="3"/>
        <v>0</v>
      </c>
      <c r="S31" s="88">
        <f t="shared" si="4"/>
        <v>0</v>
      </c>
      <c r="T31" s="3"/>
      <c r="U31" s="3">
        <f t="shared" si="5"/>
        <v>0</v>
      </c>
      <c r="W31" s="46" t="s">
        <v>46</v>
      </c>
      <c r="X31" s="48">
        <v>0.5</v>
      </c>
      <c r="Z31" s="109"/>
      <c r="AA31" s="100"/>
    </row>
    <row r="32" spans="1:27" ht="15.75" thickBot="1" x14ac:dyDescent="0.3">
      <c r="A32" s="23">
        <v>27</v>
      </c>
      <c r="B32" s="3"/>
      <c r="C32" s="3"/>
      <c r="D32" s="3"/>
      <c r="E32" s="3"/>
      <c r="F32" s="22"/>
      <c r="G32" s="3"/>
      <c r="H32" s="3"/>
      <c r="I32" s="3"/>
      <c r="J32" s="3"/>
      <c r="K32" s="5"/>
      <c r="L32" s="3"/>
      <c r="M32" s="3"/>
      <c r="N32" s="3"/>
      <c r="O32" s="88">
        <f t="shared" si="0"/>
        <v>0</v>
      </c>
      <c r="P32" s="88">
        <f t="shared" si="1"/>
        <v>0</v>
      </c>
      <c r="Q32" s="88">
        <f t="shared" si="2"/>
        <v>0</v>
      </c>
      <c r="R32" s="88">
        <f t="shared" si="3"/>
        <v>0</v>
      </c>
      <c r="S32" s="88">
        <f t="shared" si="4"/>
        <v>0</v>
      </c>
      <c r="T32" s="3"/>
      <c r="U32" s="3">
        <f t="shared" si="5"/>
        <v>0</v>
      </c>
      <c r="W32" s="1"/>
      <c r="Z32" s="113"/>
      <c r="AA32" s="114"/>
    </row>
    <row r="33" spans="1:28" s="1" customFormat="1" ht="15.75" thickBot="1" x14ac:dyDescent="0.3">
      <c r="A33" s="23">
        <v>28</v>
      </c>
      <c r="B33" s="3"/>
      <c r="C33" s="3"/>
      <c r="D33" s="3"/>
      <c r="E33" s="3"/>
      <c r="F33" s="22"/>
      <c r="G33" s="3"/>
      <c r="H33" s="3"/>
      <c r="I33" s="3"/>
      <c r="J33" s="3"/>
      <c r="K33" s="5"/>
      <c r="L33" s="3"/>
      <c r="M33" s="3"/>
      <c r="N33" s="3"/>
      <c r="O33" s="88">
        <f t="shared" si="0"/>
        <v>0</v>
      </c>
      <c r="P33" s="88">
        <f t="shared" si="1"/>
        <v>0</v>
      </c>
      <c r="Q33" s="88">
        <f t="shared" si="2"/>
        <v>0</v>
      </c>
      <c r="R33" s="88">
        <f t="shared" si="3"/>
        <v>0</v>
      </c>
      <c r="S33" s="88">
        <f t="shared" si="4"/>
        <v>0</v>
      </c>
      <c r="T33" s="3"/>
      <c r="U33" s="3">
        <f t="shared" si="5"/>
        <v>0</v>
      </c>
      <c r="V33" s="6"/>
      <c r="X33" s="107"/>
      <c r="Y33" s="113" t="s">
        <v>71</v>
      </c>
      <c r="Z33" s="115"/>
      <c r="AA33" s="116"/>
      <c r="AB33" s="6"/>
    </row>
    <row r="34" spans="1:28" s="1" customFormat="1" ht="15.75" thickBot="1" x14ac:dyDescent="0.3">
      <c r="A34" s="20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X34" s="108"/>
      <c r="Y34" s="115" t="s">
        <v>72</v>
      </c>
      <c r="Z34" s="6"/>
      <c r="AA34" s="6"/>
      <c r="AB34" s="6"/>
    </row>
    <row r="35" spans="1:28" s="1" customFormat="1" x14ac:dyDescent="0.25">
      <c r="A35" s="139" t="s">
        <v>47</v>
      </c>
      <c r="B35" s="139"/>
      <c r="C35" s="21">
        <f t="shared" ref="C35:I35" si="7">SUM(C4:C33)</f>
        <v>0</v>
      </c>
      <c r="D35" s="21">
        <f t="shared" si="7"/>
        <v>0</v>
      </c>
      <c r="E35" s="21">
        <f t="shared" si="7"/>
        <v>0</v>
      </c>
      <c r="F35" s="21">
        <f t="shared" si="7"/>
        <v>0</v>
      </c>
      <c r="G35" s="21">
        <f t="shared" si="7"/>
        <v>0</v>
      </c>
      <c r="H35" s="21">
        <f t="shared" si="7"/>
        <v>0</v>
      </c>
      <c r="I35" s="21">
        <f t="shared" si="7"/>
        <v>0</v>
      </c>
      <c r="J35" s="18"/>
      <c r="K35" s="18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Y35" s="6"/>
      <c r="Z35" s="6"/>
      <c r="AA35" s="6"/>
      <c r="AB35" s="6"/>
    </row>
    <row r="36" spans="1:28" s="1" customFormat="1" x14ac:dyDescent="0.25">
      <c r="A36" s="6"/>
      <c r="C36" s="6"/>
      <c r="D36" s="6"/>
      <c r="E36" s="6"/>
      <c r="F36" s="6"/>
      <c r="G36" s="6"/>
      <c r="H36" s="6"/>
      <c r="I36" s="6"/>
      <c r="J36" s="6"/>
      <c r="K36" s="102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Y36" s="6"/>
      <c r="Z36" s="6"/>
      <c r="AA36" s="6"/>
      <c r="AB36" s="6"/>
    </row>
    <row r="37" spans="1:28" s="1" customFormat="1" x14ac:dyDescent="0.25">
      <c r="A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Y37" s="6"/>
      <c r="Z37" s="6"/>
      <c r="AA37" s="6"/>
      <c r="AB37" s="6"/>
    </row>
    <row r="38" spans="1:28" s="1" customFormat="1" x14ac:dyDescent="0.25">
      <c r="A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Y38" s="6"/>
      <c r="Z38" s="6"/>
      <c r="AA38" s="6"/>
      <c r="AB38" s="6"/>
    </row>
    <row r="464" spans="25:25" x14ac:dyDescent="0.25">
      <c r="Y464" s="1"/>
    </row>
  </sheetData>
  <mergeCells count="2">
    <mergeCell ref="A1:U2"/>
    <mergeCell ref="A35:B35"/>
  </mergeCells>
  <pageMargins left="0.7" right="0.7" top="0.75" bottom="0.75" header="0.3" footer="0.3"/>
  <pageSetup paperSize="25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D6EAF-0B5E-4E4D-901A-32DD0CF7A679}">
  <dimension ref="A1:AB464"/>
  <sheetViews>
    <sheetView topLeftCell="D1" workbookViewId="0">
      <selection activeCell="X5" sqref="X5"/>
    </sheetView>
  </sheetViews>
  <sheetFormatPr defaultRowHeight="15" x14ac:dyDescent="0.25"/>
  <cols>
    <col min="1" max="1" width="4.28515625" style="6" bestFit="1" customWidth="1"/>
    <col min="2" max="2" width="15.28515625" style="1" bestFit="1" customWidth="1"/>
    <col min="3" max="3" width="15.85546875" style="6" bestFit="1" customWidth="1"/>
    <col min="4" max="4" width="16.85546875" style="6" bestFit="1" customWidth="1"/>
    <col min="5" max="9" width="16.85546875" style="6" customWidth="1"/>
    <col min="10" max="10" width="14.28515625" style="6" bestFit="1" customWidth="1"/>
    <col min="11" max="12" width="10.7109375" style="6" bestFit="1" customWidth="1"/>
    <col min="13" max="13" width="12.5703125" style="6" bestFit="1" customWidth="1"/>
    <col min="14" max="14" width="12.5703125" style="6" customWidth="1"/>
    <col min="15" max="15" width="9.5703125" style="6" bestFit="1" customWidth="1"/>
    <col min="16" max="16" width="11.28515625" style="6" bestFit="1" customWidth="1"/>
    <col min="17" max="17" width="15.140625" style="6" bestFit="1" customWidth="1"/>
    <col min="18" max="19" width="9.5703125" style="6" bestFit="1" customWidth="1"/>
    <col min="20" max="20" width="14.5703125" style="6" bestFit="1" customWidth="1"/>
    <col min="21" max="21" width="19" style="6" bestFit="1" customWidth="1"/>
    <col min="22" max="22" width="15.85546875" style="6" customWidth="1"/>
    <col min="23" max="23" width="28.85546875" style="6" bestFit="1" customWidth="1"/>
    <col min="24" max="24" width="11.7109375" style="1" bestFit="1" customWidth="1"/>
    <col min="25" max="25" width="10.7109375" style="6" bestFit="1" customWidth="1"/>
    <col min="26" max="26" width="15.28515625" style="6" bestFit="1" customWidth="1"/>
    <col min="27" max="27" width="21.7109375" style="6" bestFit="1" customWidth="1"/>
    <col min="28" max="28" width="15.85546875" style="6" customWidth="1"/>
    <col min="29" max="16384" width="9.140625" style="6"/>
  </cols>
  <sheetData>
    <row r="1" spans="1:28" ht="15.75" thickBot="1" x14ac:dyDescent="0.3">
      <c r="A1" s="138" t="s">
        <v>60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</row>
    <row r="2" spans="1:28" x14ac:dyDescent="0.25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W2" s="62"/>
      <c r="X2" s="63" t="s">
        <v>49</v>
      </c>
      <c r="Y2" s="64" t="s">
        <v>50</v>
      </c>
    </row>
    <row r="3" spans="1:28" x14ac:dyDescent="0.25">
      <c r="A3" s="9" t="s">
        <v>21</v>
      </c>
      <c r="B3" s="7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9" t="s">
        <v>31</v>
      </c>
      <c r="L3" s="8" t="s">
        <v>32</v>
      </c>
      <c r="M3" s="8" t="s">
        <v>33</v>
      </c>
      <c r="N3" s="8" t="s">
        <v>94</v>
      </c>
      <c r="O3" s="8" t="s">
        <v>34</v>
      </c>
      <c r="P3" s="8" t="s">
        <v>58</v>
      </c>
      <c r="Q3" s="8" t="s">
        <v>35</v>
      </c>
      <c r="R3" s="8" t="s">
        <v>36</v>
      </c>
      <c r="S3" s="8" t="s">
        <v>37</v>
      </c>
      <c r="T3" s="8" t="s">
        <v>38</v>
      </c>
      <c r="U3" s="9" t="s">
        <v>39</v>
      </c>
      <c r="W3" s="49" t="s">
        <v>17</v>
      </c>
      <c r="X3" s="51">
        <f>SUM(C36:I36)</f>
        <v>0</v>
      </c>
      <c r="Y3" s="51"/>
      <c r="AA3" s="60" t="s">
        <v>75</v>
      </c>
      <c r="AB3" s="60" t="s">
        <v>74</v>
      </c>
    </row>
    <row r="4" spans="1:28" x14ac:dyDescent="0.25">
      <c r="A4" s="23">
        <v>30</v>
      </c>
      <c r="B4" s="19"/>
      <c r="C4" s="4"/>
      <c r="D4" s="4"/>
      <c r="E4" s="4"/>
      <c r="F4" s="4"/>
      <c r="G4" s="4"/>
      <c r="H4" s="4"/>
      <c r="I4" s="4"/>
      <c r="J4" s="4"/>
      <c r="K4" s="10"/>
      <c r="L4" s="3"/>
      <c r="M4" s="3"/>
      <c r="N4" s="3"/>
      <c r="O4" s="88"/>
      <c r="P4" s="88"/>
      <c r="Q4" s="88"/>
      <c r="R4" s="88"/>
      <c r="S4" s="88"/>
      <c r="T4" s="3"/>
      <c r="U4" s="3">
        <f>C4+B4+K4+L4+M4+O4+P4+Q4+R4+S4+T4+D4+E4+F4+G4+I4+H4+N4</f>
        <v>0</v>
      </c>
      <c r="W4" s="49" t="s">
        <v>40</v>
      </c>
      <c r="X4" s="53">
        <v>0.04</v>
      </c>
      <c r="Y4" s="53"/>
      <c r="AA4" s="58" t="str">
        <f>IFERROR(-(X3/(X6+X7)),"")</f>
        <v/>
      </c>
      <c r="AB4" s="59" t="str">
        <f>IF($AA$4 &gt; 12, "⭐ Excelente", IF($AA$4 &gt;= 6, "✅ Saudável", IF($AA$4 &lt; 5, "🛑 Perigo", "⚠️ Atenção")))</f>
        <v>⭐ Excelente</v>
      </c>
    </row>
    <row r="5" spans="1:28" x14ac:dyDescent="0.25">
      <c r="A5" s="23">
        <v>31</v>
      </c>
      <c r="B5" s="19"/>
      <c r="C5" s="3"/>
      <c r="D5" s="3"/>
      <c r="E5" s="3"/>
      <c r="F5" s="3"/>
      <c r="G5" s="3"/>
      <c r="H5" s="3"/>
      <c r="I5" s="3"/>
      <c r="J5" s="3"/>
      <c r="K5" s="5"/>
      <c r="L5" s="3"/>
      <c r="M5" s="3"/>
      <c r="N5" s="3"/>
      <c r="O5" s="88"/>
      <c r="P5" s="88"/>
      <c r="Q5" s="88"/>
      <c r="R5" s="88"/>
      <c r="S5" s="88"/>
      <c r="T5" s="3"/>
      <c r="U5" s="3">
        <f t="shared" ref="U5:U34" si="0">C5+B5+K5+L5+M5+O5+P5+Q5+R5+S5+T5+D5+E5+F5+G5+I5+H5+N5</f>
        <v>0</v>
      </c>
      <c r="W5" s="49" t="s">
        <v>51</v>
      </c>
      <c r="X5" s="51">
        <f>SUM(B4:B33)</f>
        <v>0</v>
      </c>
      <c r="Y5" s="52"/>
      <c r="Z5" s="1"/>
      <c r="AB5" s="1"/>
    </row>
    <row r="6" spans="1:28" x14ac:dyDescent="0.25">
      <c r="A6" s="23">
        <v>1</v>
      </c>
      <c r="B6" s="19"/>
      <c r="C6" s="3"/>
      <c r="D6" s="3"/>
      <c r="E6" s="3"/>
      <c r="F6" s="3"/>
      <c r="G6" s="3"/>
      <c r="H6" s="3"/>
      <c r="I6" s="3"/>
      <c r="J6" s="3"/>
      <c r="K6" s="5"/>
      <c r="L6" s="3"/>
      <c r="M6" s="3"/>
      <c r="N6" s="3"/>
      <c r="O6" s="88">
        <f>$X$18/29</f>
        <v>0</v>
      </c>
      <c r="P6" s="88">
        <f>$X$17/29</f>
        <v>0</v>
      </c>
      <c r="Q6" s="88">
        <f>$X$16/29</f>
        <v>0</v>
      </c>
      <c r="R6" s="88">
        <f>$X$19/29</f>
        <v>0</v>
      </c>
      <c r="S6" s="88">
        <f>$X$15/29</f>
        <v>0</v>
      </c>
      <c r="T6" s="3"/>
      <c r="U6" s="3">
        <f t="shared" si="0"/>
        <v>0</v>
      </c>
      <c r="W6" s="49" t="s">
        <v>52</v>
      </c>
      <c r="X6" s="51">
        <f>SUM(K4:K33)</f>
        <v>0</v>
      </c>
      <c r="Y6" s="52"/>
      <c r="AA6" s="95" t="s">
        <v>86</v>
      </c>
      <c r="AB6" s="94" t="str">
        <f>IFERROR(ABS(SUM(X14:X19)) / ((X3 - ABS(SUM(X5:X12))) / X3), "")</f>
        <v/>
      </c>
    </row>
    <row r="7" spans="1:28" x14ac:dyDescent="0.25">
      <c r="A7" s="23">
        <v>2</v>
      </c>
      <c r="B7" s="3"/>
      <c r="C7" s="3"/>
      <c r="D7" s="3"/>
      <c r="E7" s="3"/>
      <c r="F7" s="3"/>
      <c r="G7" s="3"/>
      <c r="H7" s="3"/>
      <c r="I7" s="3"/>
      <c r="J7" s="3"/>
      <c r="K7" s="5"/>
      <c r="L7" s="3"/>
      <c r="M7" s="3"/>
      <c r="N7" s="3"/>
      <c r="O7" s="88">
        <f t="shared" ref="O7:O34" si="1">$X$18/29</f>
        <v>0</v>
      </c>
      <c r="P7" s="88">
        <f t="shared" ref="P7:P34" si="2">$X$17/29</f>
        <v>0</v>
      </c>
      <c r="Q7" s="88">
        <f t="shared" ref="Q7:Q34" si="3">$X$16/29</f>
        <v>0</v>
      </c>
      <c r="R7" s="88">
        <f t="shared" ref="R7:R34" si="4">$X$19/29</f>
        <v>0</v>
      </c>
      <c r="S7" s="88">
        <f t="shared" ref="S7:S34" si="5">$X$15/29</f>
        <v>0</v>
      </c>
      <c r="T7" s="3"/>
      <c r="U7" s="3">
        <f t="shared" si="0"/>
        <v>0</v>
      </c>
      <c r="W7" s="49" t="s">
        <v>53</v>
      </c>
      <c r="X7" s="55"/>
      <c r="Y7" s="55"/>
    </row>
    <row r="8" spans="1:28" x14ac:dyDescent="0.25">
      <c r="A8" s="23">
        <v>3</v>
      </c>
      <c r="B8" s="3"/>
      <c r="C8" s="3"/>
      <c r="D8" s="3"/>
      <c r="E8" s="3"/>
      <c r="F8" s="3"/>
      <c r="G8" s="3"/>
      <c r="H8" s="3"/>
      <c r="I8" s="3"/>
      <c r="J8" s="3"/>
      <c r="K8" s="5"/>
      <c r="L8" s="3"/>
      <c r="M8" s="3"/>
      <c r="N8" s="3"/>
      <c r="O8" s="88">
        <f t="shared" si="1"/>
        <v>0</v>
      </c>
      <c r="P8" s="88">
        <f t="shared" si="2"/>
        <v>0</v>
      </c>
      <c r="Q8" s="88">
        <f t="shared" si="3"/>
        <v>0</v>
      </c>
      <c r="R8" s="88">
        <f t="shared" si="4"/>
        <v>0</v>
      </c>
      <c r="S8" s="88">
        <f t="shared" si="5"/>
        <v>0</v>
      </c>
      <c r="T8" s="3"/>
      <c r="U8" s="3">
        <f t="shared" si="0"/>
        <v>0</v>
      </c>
      <c r="W8" s="49" t="s">
        <v>41</v>
      </c>
      <c r="X8" s="51">
        <f>(SUM(J4:J33))/31</f>
        <v>0</v>
      </c>
      <c r="Y8" s="51"/>
    </row>
    <row r="9" spans="1:28" x14ac:dyDescent="0.25">
      <c r="A9" s="23">
        <v>4</v>
      </c>
      <c r="B9" s="3"/>
      <c r="C9" s="3"/>
      <c r="D9" s="3"/>
      <c r="E9" s="3"/>
      <c r="F9" s="3"/>
      <c r="G9" s="3"/>
      <c r="H9" s="3"/>
      <c r="I9" s="3"/>
      <c r="J9" s="3"/>
      <c r="K9" s="5"/>
      <c r="L9" s="3"/>
      <c r="M9" s="3"/>
      <c r="N9" s="3"/>
      <c r="O9" s="88">
        <f t="shared" si="1"/>
        <v>0</v>
      </c>
      <c r="P9" s="88">
        <f t="shared" si="2"/>
        <v>0</v>
      </c>
      <c r="Q9" s="88">
        <f t="shared" si="3"/>
        <v>0</v>
      </c>
      <c r="R9" s="88">
        <f t="shared" si="4"/>
        <v>0</v>
      </c>
      <c r="S9" s="88">
        <f t="shared" si="5"/>
        <v>0</v>
      </c>
      <c r="T9" s="3"/>
      <c r="U9" s="3">
        <f t="shared" si="0"/>
        <v>0</v>
      </c>
      <c r="W9" s="49" t="s">
        <v>54</v>
      </c>
      <c r="X9" s="51">
        <f>SUM(L4:L33)</f>
        <v>0</v>
      </c>
      <c r="Y9" s="52"/>
    </row>
    <row r="10" spans="1:28" x14ac:dyDescent="0.25">
      <c r="A10" s="23">
        <v>5</v>
      </c>
      <c r="B10" s="3"/>
      <c r="C10" s="3"/>
      <c r="D10" s="3"/>
      <c r="E10" s="3"/>
      <c r="F10" s="3"/>
      <c r="G10" s="3"/>
      <c r="H10" s="3"/>
      <c r="I10" s="3"/>
      <c r="J10" s="3"/>
      <c r="K10" s="5"/>
      <c r="L10" s="3"/>
      <c r="M10" s="3"/>
      <c r="N10" s="3"/>
      <c r="O10" s="88">
        <f t="shared" si="1"/>
        <v>0</v>
      </c>
      <c r="P10" s="88">
        <f t="shared" si="2"/>
        <v>0</v>
      </c>
      <c r="Q10" s="88">
        <f t="shared" si="3"/>
        <v>0</v>
      </c>
      <c r="R10" s="88">
        <f t="shared" si="4"/>
        <v>0</v>
      </c>
      <c r="S10" s="88">
        <f t="shared" si="5"/>
        <v>0</v>
      </c>
      <c r="T10" s="3"/>
      <c r="U10" s="3">
        <f t="shared" si="0"/>
        <v>0</v>
      </c>
      <c r="W10" s="49" t="s">
        <v>55</v>
      </c>
      <c r="X10" s="51">
        <f>SUM(M4:M33)</f>
        <v>0</v>
      </c>
      <c r="Y10" s="52"/>
    </row>
    <row r="11" spans="1:28" x14ac:dyDescent="0.25">
      <c r="A11" s="23">
        <v>6</v>
      </c>
      <c r="B11" s="19"/>
      <c r="C11" s="3"/>
      <c r="D11" s="3"/>
      <c r="E11" s="3"/>
      <c r="F11" s="3"/>
      <c r="G11" s="3"/>
      <c r="H11" s="3"/>
      <c r="I11" s="3"/>
      <c r="J11" s="3"/>
      <c r="K11" s="5"/>
      <c r="L11" s="3"/>
      <c r="M11" s="3"/>
      <c r="N11" s="3"/>
      <c r="O11" s="88">
        <f t="shared" si="1"/>
        <v>0</v>
      </c>
      <c r="P11" s="88">
        <f t="shared" si="2"/>
        <v>0</v>
      </c>
      <c r="Q11" s="88">
        <f t="shared" si="3"/>
        <v>0</v>
      </c>
      <c r="R11" s="88">
        <f t="shared" si="4"/>
        <v>0</v>
      </c>
      <c r="S11" s="88">
        <f t="shared" si="5"/>
        <v>0</v>
      </c>
      <c r="T11" s="3"/>
      <c r="U11" s="3">
        <f t="shared" si="0"/>
        <v>0</v>
      </c>
      <c r="W11" s="49" t="s">
        <v>94</v>
      </c>
      <c r="X11" s="51">
        <f>SUM(N4:N34)</f>
        <v>0</v>
      </c>
      <c r="Y11" s="52"/>
    </row>
    <row r="12" spans="1:28" x14ac:dyDescent="0.25">
      <c r="A12" s="23">
        <v>7</v>
      </c>
      <c r="B12" s="3"/>
      <c r="C12" s="3"/>
      <c r="D12" s="3"/>
      <c r="E12" s="3"/>
      <c r="F12" s="3"/>
      <c r="G12" s="3"/>
      <c r="H12" s="3"/>
      <c r="I12" s="3"/>
      <c r="J12" s="3"/>
      <c r="K12" s="5"/>
      <c r="L12" s="3"/>
      <c r="M12" s="3"/>
      <c r="N12" s="3"/>
      <c r="O12" s="88">
        <f t="shared" si="1"/>
        <v>0</v>
      </c>
      <c r="P12" s="88">
        <f t="shared" si="2"/>
        <v>0</v>
      </c>
      <c r="Q12" s="88">
        <f t="shared" si="3"/>
        <v>0</v>
      </c>
      <c r="R12" s="88">
        <f t="shared" si="4"/>
        <v>0</v>
      </c>
      <c r="S12" s="88">
        <f t="shared" si="5"/>
        <v>0</v>
      </c>
      <c r="T12" s="3"/>
      <c r="U12" s="3">
        <f t="shared" si="0"/>
        <v>0</v>
      </c>
      <c r="W12" s="49" t="s">
        <v>56</v>
      </c>
      <c r="X12" s="51">
        <f>-X3*X4</f>
        <v>0</v>
      </c>
      <c r="Y12" s="52"/>
    </row>
    <row r="13" spans="1:28" x14ac:dyDescent="0.25">
      <c r="A13" s="23">
        <v>8</v>
      </c>
      <c r="B13" s="3"/>
      <c r="C13" s="3"/>
      <c r="D13" s="3"/>
      <c r="E13" s="3"/>
      <c r="F13" s="3"/>
      <c r="G13" s="3"/>
      <c r="H13" s="3"/>
      <c r="I13" s="3"/>
      <c r="J13" s="3"/>
      <c r="K13" s="5"/>
      <c r="L13" s="3"/>
      <c r="M13" s="3"/>
      <c r="N13" s="3"/>
      <c r="O13" s="88">
        <f t="shared" si="1"/>
        <v>0</v>
      </c>
      <c r="P13" s="88">
        <f t="shared" si="2"/>
        <v>0</v>
      </c>
      <c r="Q13" s="88">
        <f t="shared" si="3"/>
        <v>0</v>
      </c>
      <c r="R13" s="88">
        <f t="shared" si="4"/>
        <v>0</v>
      </c>
      <c r="S13" s="88">
        <f t="shared" si="5"/>
        <v>0</v>
      </c>
      <c r="T13" s="3"/>
      <c r="U13" s="3">
        <f t="shared" si="0"/>
        <v>0</v>
      </c>
      <c r="W13" s="49" t="s">
        <v>57</v>
      </c>
      <c r="X13" s="55"/>
      <c r="Y13" s="52"/>
    </row>
    <row r="14" spans="1:28" x14ac:dyDescent="0.25">
      <c r="A14" s="23">
        <v>9</v>
      </c>
      <c r="B14" s="3"/>
      <c r="C14" s="3"/>
      <c r="D14" s="3"/>
      <c r="E14" s="3"/>
      <c r="F14" s="3"/>
      <c r="G14" s="3"/>
      <c r="H14" s="3"/>
      <c r="I14" s="3"/>
      <c r="J14" s="3"/>
      <c r="K14" s="5"/>
      <c r="L14" s="3"/>
      <c r="M14" s="3"/>
      <c r="N14" s="3"/>
      <c r="O14" s="88">
        <f t="shared" si="1"/>
        <v>0</v>
      </c>
      <c r="P14" s="88">
        <f t="shared" si="2"/>
        <v>0</v>
      </c>
      <c r="Q14" s="88">
        <f t="shared" si="3"/>
        <v>0</v>
      </c>
      <c r="R14" s="88">
        <f t="shared" si="4"/>
        <v>0</v>
      </c>
      <c r="S14" s="88">
        <f t="shared" si="5"/>
        <v>0</v>
      </c>
      <c r="T14" s="3"/>
      <c r="U14" s="3">
        <f t="shared" si="0"/>
        <v>0</v>
      </c>
      <c r="W14" s="49" t="s">
        <v>38</v>
      </c>
      <c r="X14" s="51">
        <f>SUM(T4:T33)</f>
        <v>0</v>
      </c>
      <c r="Y14" s="52"/>
    </row>
    <row r="15" spans="1:28" x14ac:dyDescent="0.25">
      <c r="A15" s="23">
        <v>10</v>
      </c>
      <c r="B15" s="3"/>
      <c r="C15" s="3"/>
      <c r="D15" s="3"/>
      <c r="E15" s="3"/>
      <c r="F15" s="22"/>
      <c r="G15" s="3"/>
      <c r="H15" s="3"/>
      <c r="I15" s="3"/>
      <c r="J15" s="3"/>
      <c r="K15" s="5"/>
      <c r="L15" s="3"/>
      <c r="M15" s="3"/>
      <c r="N15" s="3"/>
      <c r="O15" s="88">
        <f t="shared" si="1"/>
        <v>0</v>
      </c>
      <c r="P15" s="88">
        <f t="shared" si="2"/>
        <v>0</v>
      </c>
      <c r="Q15" s="88">
        <f t="shared" si="3"/>
        <v>0</v>
      </c>
      <c r="R15" s="88">
        <f t="shared" si="4"/>
        <v>0</v>
      </c>
      <c r="S15" s="88">
        <f t="shared" si="5"/>
        <v>0</v>
      </c>
      <c r="T15" s="3"/>
      <c r="U15" s="3">
        <f t="shared" si="0"/>
        <v>0</v>
      </c>
      <c r="W15" s="49" t="s">
        <v>37</v>
      </c>
      <c r="X15" s="55"/>
      <c r="Y15" s="52"/>
    </row>
    <row r="16" spans="1:28" x14ac:dyDescent="0.25">
      <c r="A16" s="23">
        <v>11</v>
      </c>
      <c r="B16" s="3"/>
      <c r="C16" s="3"/>
      <c r="D16" s="3"/>
      <c r="E16" s="3"/>
      <c r="F16" s="3"/>
      <c r="G16" s="3"/>
      <c r="H16" s="3"/>
      <c r="I16" s="3"/>
      <c r="J16" s="3"/>
      <c r="K16" s="5"/>
      <c r="L16" s="3"/>
      <c r="M16" s="3"/>
      <c r="N16" s="3"/>
      <c r="O16" s="88">
        <f t="shared" si="1"/>
        <v>0</v>
      </c>
      <c r="P16" s="88">
        <f t="shared" si="2"/>
        <v>0</v>
      </c>
      <c r="Q16" s="88">
        <f t="shared" si="3"/>
        <v>0</v>
      </c>
      <c r="R16" s="88">
        <f t="shared" si="4"/>
        <v>0</v>
      </c>
      <c r="S16" s="88">
        <f t="shared" si="5"/>
        <v>0</v>
      </c>
      <c r="T16" s="3"/>
      <c r="U16" s="3">
        <f t="shared" si="0"/>
        <v>0</v>
      </c>
      <c r="W16" s="49" t="s">
        <v>35</v>
      </c>
      <c r="X16" s="55"/>
      <c r="Y16" s="52"/>
    </row>
    <row r="17" spans="1:27" x14ac:dyDescent="0.25">
      <c r="A17" s="23">
        <v>12</v>
      </c>
      <c r="B17" s="3"/>
      <c r="C17" s="3"/>
      <c r="D17" s="3"/>
      <c r="E17" s="3"/>
      <c r="F17" s="3"/>
      <c r="G17" s="3"/>
      <c r="H17" s="3"/>
      <c r="I17" s="3"/>
      <c r="J17" s="3"/>
      <c r="K17" s="5"/>
      <c r="L17" s="3"/>
      <c r="M17" s="3"/>
      <c r="N17" s="3"/>
      <c r="O17" s="88">
        <f t="shared" si="1"/>
        <v>0</v>
      </c>
      <c r="P17" s="88">
        <f t="shared" si="2"/>
        <v>0</v>
      </c>
      <c r="Q17" s="88">
        <f t="shared" si="3"/>
        <v>0</v>
      </c>
      <c r="R17" s="88">
        <f t="shared" si="4"/>
        <v>0</v>
      </c>
      <c r="S17" s="88">
        <f t="shared" si="5"/>
        <v>0</v>
      </c>
      <c r="T17" s="3"/>
      <c r="U17" s="3">
        <f t="shared" si="0"/>
        <v>0</v>
      </c>
      <c r="W17" s="49" t="s">
        <v>58</v>
      </c>
      <c r="X17" s="55"/>
      <c r="Y17" s="52"/>
    </row>
    <row r="18" spans="1:27" x14ac:dyDescent="0.25">
      <c r="A18" s="23">
        <v>13</v>
      </c>
      <c r="B18" s="3"/>
      <c r="C18" s="3"/>
      <c r="D18" s="3"/>
      <c r="E18" s="3"/>
      <c r="F18" s="3"/>
      <c r="G18" s="3"/>
      <c r="H18" s="3"/>
      <c r="I18" s="3"/>
      <c r="J18" s="3"/>
      <c r="K18" s="5"/>
      <c r="L18" s="3"/>
      <c r="M18" s="3"/>
      <c r="N18" s="3"/>
      <c r="O18" s="88">
        <f t="shared" si="1"/>
        <v>0</v>
      </c>
      <c r="P18" s="88">
        <f t="shared" si="2"/>
        <v>0</v>
      </c>
      <c r="Q18" s="88">
        <f t="shared" si="3"/>
        <v>0</v>
      </c>
      <c r="R18" s="88">
        <f t="shared" si="4"/>
        <v>0</v>
      </c>
      <c r="S18" s="88">
        <f t="shared" si="5"/>
        <v>0</v>
      </c>
      <c r="T18" s="3"/>
      <c r="U18" s="3">
        <f t="shared" si="0"/>
        <v>0</v>
      </c>
      <c r="W18" s="49" t="s">
        <v>90</v>
      </c>
      <c r="X18" s="55"/>
      <c r="Y18" s="52"/>
    </row>
    <row r="19" spans="1:27" x14ac:dyDescent="0.25">
      <c r="A19" s="23">
        <v>14</v>
      </c>
      <c r="B19" s="3"/>
      <c r="C19" s="3"/>
      <c r="D19" s="3"/>
      <c r="E19" s="3"/>
      <c r="F19" s="3"/>
      <c r="G19" s="3"/>
      <c r="H19" s="3"/>
      <c r="I19" s="3"/>
      <c r="J19" s="3"/>
      <c r="K19" s="5"/>
      <c r="L19" s="3"/>
      <c r="M19" s="3"/>
      <c r="N19" s="3"/>
      <c r="O19" s="88">
        <f t="shared" si="1"/>
        <v>0</v>
      </c>
      <c r="P19" s="88">
        <f t="shared" si="2"/>
        <v>0</v>
      </c>
      <c r="Q19" s="88">
        <f t="shared" si="3"/>
        <v>0</v>
      </c>
      <c r="R19" s="88">
        <f t="shared" si="4"/>
        <v>0</v>
      </c>
      <c r="S19" s="88">
        <f t="shared" si="5"/>
        <v>0</v>
      </c>
      <c r="T19" s="3"/>
      <c r="U19" s="3">
        <f t="shared" si="0"/>
        <v>0</v>
      </c>
      <c r="W19" s="49" t="s">
        <v>91</v>
      </c>
      <c r="X19" s="140">
        <f>(X18-X21)*14%</f>
        <v>0</v>
      </c>
      <c r="Y19" s="52"/>
    </row>
    <row r="20" spans="1:27" x14ac:dyDescent="0.25">
      <c r="A20" s="23">
        <v>15</v>
      </c>
      <c r="B20" s="3"/>
      <c r="C20" s="3"/>
      <c r="D20" s="3"/>
      <c r="E20" s="3"/>
      <c r="F20" s="3"/>
      <c r="G20" s="3"/>
      <c r="H20" s="3"/>
      <c r="I20" s="3"/>
      <c r="J20" s="3"/>
      <c r="K20" s="5"/>
      <c r="L20" s="3"/>
      <c r="M20" s="3"/>
      <c r="N20" s="3"/>
      <c r="O20" s="88">
        <f t="shared" si="1"/>
        <v>0</v>
      </c>
      <c r="P20" s="88">
        <f t="shared" si="2"/>
        <v>0</v>
      </c>
      <c r="Q20" s="88">
        <f t="shared" si="3"/>
        <v>0</v>
      </c>
      <c r="R20" s="88">
        <f t="shared" si="4"/>
        <v>0</v>
      </c>
      <c r="S20" s="88">
        <f t="shared" si="5"/>
        <v>0</v>
      </c>
      <c r="T20" s="3"/>
      <c r="U20" s="3">
        <f t="shared" si="0"/>
        <v>0</v>
      </c>
      <c r="W20" s="49" t="s">
        <v>42</v>
      </c>
      <c r="X20" s="55"/>
      <c r="Y20" s="52"/>
    </row>
    <row r="21" spans="1:27" ht="15.75" thickBot="1" x14ac:dyDescent="0.3">
      <c r="A21" s="23">
        <v>16</v>
      </c>
      <c r="B21" s="3"/>
      <c r="C21" s="3"/>
      <c r="D21" s="3"/>
      <c r="E21" s="3"/>
      <c r="F21" s="3"/>
      <c r="G21" s="3"/>
      <c r="H21" s="3"/>
      <c r="I21" s="3"/>
      <c r="J21" s="3"/>
      <c r="K21" s="5"/>
      <c r="L21" s="3"/>
      <c r="M21" s="3"/>
      <c r="N21" s="3"/>
      <c r="O21" s="88">
        <f t="shared" si="1"/>
        <v>0</v>
      </c>
      <c r="P21" s="88">
        <f t="shared" si="2"/>
        <v>0</v>
      </c>
      <c r="Q21" s="88">
        <f t="shared" si="3"/>
        <v>0</v>
      </c>
      <c r="R21" s="88">
        <f t="shared" si="4"/>
        <v>0</v>
      </c>
      <c r="S21" s="88">
        <f t="shared" si="5"/>
        <v>0</v>
      </c>
      <c r="T21" s="3"/>
      <c r="U21" s="3">
        <f t="shared" si="0"/>
        <v>0</v>
      </c>
      <c r="W21" s="50" t="s">
        <v>43</v>
      </c>
      <c r="X21" s="56">
        <f>X3+X5+X6+X9+X10+X12+X13+X15+X16+X17+X18+X20+X7+X11</f>
        <v>0</v>
      </c>
      <c r="Y21" s="35">
        <f>Y3+Y5+Y6+Y7+Y9+Y10+Y12+Y13+Y15+Y16+Y17+Y18+Y20</f>
        <v>0</v>
      </c>
      <c r="Z21" s="1"/>
      <c r="AA21" s="1"/>
    </row>
    <row r="22" spans="1:27" ht="15.75" thickBot="1" x14ac:dyDescent="0.3">
      <c r="A22" s="23">
        <v>17</v>
      </c>
      <c r="B22" s="3"/>
      <c r="C22" s="3"/>
      <c r="D22" s="3"/>
      <c r="E22" s="3"/>
      <c r="F22" s="3"/>
      <c r="G22" s="3"/>
      <c r="H22" s="3"/>
      <c r="I22" s="3"/>
      <c r="J22" s="3"/>
      <c r="K22" s="5"/>
      <c r="L22" s="3"/>
      <c r="M22" s="3"/>
      <c r="N22" s="3"/>
      <c r="O22" s="88">
        <f t="shared" si="1"/>
        <v>0</v>
      </c>
      <c r="P22" s="88">
        <f t="shared" si="2"/>
        <v>0</v>
      </c>
      <c r="Q22" s="88">
        <f t="shared" si="3"/>
        <v>0</v>
      </c>
      <c r="R22" s="88">
        <f t="shared" si="4"/>
        <v>0</v>
      </c>
      <c r="S22" s="88">
        <f t="shared" si="5"/>
        <v>0</v>
      </c>
      <c r="T22" s="3"/>
      <c r="U22" s="3">
        <f t="shared" si="0"/>
        <v>0</v>
      </c>
      <c r="W22" s="50" t="s">
        <v>92</v>
      </c>
      <c r="X22" s="56">
        <f>X3+X5+X6+X7+X9+X10+X12+X13+X14+X15+X16+X17+X18+X19+X20+X11</f>
        <v>0</v>
      </c>
      <c r="Y22" s="35">
        <f>Y3+Y5+Y6+Y7+Y9+Y10+Y12+Y13+Y15+Y16+Y17+Y18+Y19+Y20</f>
        <v>0</v>
      </c>
    </row>
    <row r="23" spans="1:27" x14ac:dyDescent="0.25">
      <c r="A23" s="23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88">
        <f t="shared" si="1"/>
        <v>0</v>
      </c>
      <c r="P23" s="88">
        <f t="shared" si="2"/>
        <v>0</v>
      </c>
      <c r="Q23" s="88">
        <f t="shared" si="3"/>
        <v>0</v>
      </c>
      <c r="R23" s="88">
        <f t="shared" si="4"/>
        <v>0</v>
      </c>
      <c r="S23" s="88">
        <f t="shared" si="5"/>
        <v>0</v>
      </c>
      <c r="T23" s="3"/>
      <c r="U23" s="3">
        <f t="shared" si="0"/>
        <v>0</v>
      </c>
    </row>
    <row r="24" spans="1:27" x14ac:dyDescent="0.25">
      <c r="A24" s="23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88">
        <f t="shared" si="1"/>
        <v>0</v>
      </c>
      <c r="P24" s="88">
        <f t="shared" si="2"/>
        <v>0</v>
      </c>
      <c r="Q24" s="88">
        <f t="shared" si="3"/>
        <v>0</v>
      </c>
      <c r="R24" s="88">
        <f t="shared" si="4"/>
        <v>0</v>
      </c>
      <c r="S24" s="88">
        <f t="shared" si="5"/>
        <v>0</v>
      </c>
      <c r="T24" s="3"/>
      <c r="U24" s="3">
        <f t="shared" si="0"/>
        <v>0</v>
      </c>
      <c r="W24" s="13" t="s">
        <v>44</v>
      </c>
      <c r="X24" s="36">
        <f>X6+X5+X14+X13</f>
        <v>0</v>
      </c>
      <c r="Y24" s="14"/>
    </row>
    <row r="25" spans="1:27" x14ac:dyDescent="0.25">
      <c r="A25" s="23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88">
        <f t="shared" si="1"/>
        <v>0</v>
      </c>
      <c r="P25" s="88">
        <f t="shared" si="2"/>
        <v>0</v>
      </c>
      <c r="Q25" s="88">
        <f t="shared" si="3"/>
        <v>0</v>
      </c>
      <c r="R25" s="88">
        <f t="shared" si="4"/>
        <v>0</v>
      </c>
      <c r="S25" s="88">
        <f t="shared" si="5"/>
        <v>0</v>
      </c>
      <c r="T25" s="3"/>
      <c r="U25" s="3">
        <f t="shared" si="0"/>
        <v>0</v>
      </c>
    </row>
    <row r="26" spans="1:27" x14ac:dyDescent="0.25">
      <c r="A26" s="23">
        <v>21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88">
        <f t="shared" si="1"/>
        <v>0</v>
      </c>
      <c r="P26" s="88">
        <f t="shared" si="2"/>
        <v>0</v>
      </c>
      <c r="Q26" s="88">
        <f t="shared" si="3"/>
        <v>0</v>
      </c>
      <c r="R26" s="88">
        <f t="shared" si="4"/>
        <v>0</v>
      </c>
      <c r="S26" s="88">
        <f t="shared" si="5"/>
        <v>0</v>
      </c>
      <c r="T26" s="3"/>
      <c r="U26" s="3">
        <f t="shared" si="0"/>
        <v>0</v>
      </c>
      <c r="W26" s="1"/>
    </row>
    <row r="27" spans="1:27" x14ac:dyDescent="0.25">
      <c r="A27" s="23">
        <v>22</v>
      </c>
      <c r="B27" s="3"/>
      <c r="C27" s="3"/>
      <c r="D27" s="3"/>
      <c r="E27" s="3"/>
      <c r="F27" s="22"/>
      <c r="G27" s="3"/>
      <c r="H27" s="3"/>
      <c r="I27" s="3"/>
      <c r="J27" s="3"/>
      <c r="K27" s="5"/>
      <c r="L27" s="3"/>
      <c r="M27" s="3"/>
      <c r="N27" s="3"/>
      <c r="O27" s="88">
        <f t="shared" si="1"/>
        <v>0</v>
      </c>
      <c r="P27" s="88">
        <f t="shared" si="2"/>
        <v>0</v>
      </c>
      <c r="Q27" s="88">
        <f t="shared" si="3"/>
        <v>0</v>
      </c>
      <c r="R27" s="88">
        <f t="shared" si="4"/>
        <v>0</v>
      </c>
      <c r="S27" s="88">
        <f t="shared" si="5"/>
        <v>0</v>
      </c>
      <c r="T27" s="3"/>
      <c r="U27" s="3">
        <f t="shared" si="0"/>
        <v>0</v>
      </c>
      <c r="W27" s="11" t="s">
        <v>45</v>
      </c>
      <c r="X27" s="42">
        <f>(X22*X30)</f>
        <v>0</v>
      </c>
      <c r="Y27" s="12">
        <f>Y22*50%</f>
        <v>0</v>
      </c>
    </row>
    <row r="28" spans="1:27" x14ac:dyDescent="0.25">
      <c r="A28" s="23">
        <v>23</v>
      </c>
      <c r="B28" s="3"/>
      <c r="C28" s="3"/>
      <c r="D28" s="3"/>
      <c r="E28" s="3"/>
      <c r="F28" s="22"/>
      <c r="G28" s="3"/>
      <c r="H28" s="3"/>
      <c r="I28" s="3"/>
      <c r="J28" s="3"/>
      <c r="K28" s="5"/>
      <c r="L28" s="3"/>
      <c r="M28" s="3"/>
      <c r="N28" s="3"/>
      <c r="O28" s="88">
        <f t="shared" si="1"/>
        <v>0</v>
      </c>
      <c r="P28" s="88">
        <f t="shared" si="2"/>
        <v>0</v>
      </c>
      <c r="Q28" s="88">
        <f t="shared" si="3"/>
        <v>0</v>
      </c>
      <c r="R28" s="88">
        <f t="shared" si="4"/>
        <v>0</v>
      </c>
      <c r="S28" s="88">
        <f t="shared" si="5"/>
        <v>0</v>
      </c>
      <c r="T28" s="3"/>
      <c r="U28" s="3">
        <f t="shared" si="0"/>
        <v>0</v>
      </c>
      <c r="W28" s="11" t="s">
        <v>46</v>
      </c>
      <c r="X28" s="42">
        <f>X22*X31</f>
        <v>0</v>
      </c>
      <c r="Y28" s="12">
        <f>Y22*X31</f>
        <v>0</v>
      </c>
    </row>
    <row r="29" spans="1:27" ht="15.75" thickBot="1" x14ac:dyDescent="0.3">
      <c r="A29" s="23">
        <v>24</v>
      </c>
      <c r="B29" s="3"/>
      <c r="C29" s="3"/>
      <c r="D29" s="3"/>
      <c r="E29" s="3"/>
      <c r="F29" s="22"/>
      <c r="G29" s="3"/>
      <c r="H29" s="3"/>
      <c r="I29" s="3"/>
      <c r="J29" s="3"/>
      <c r="K29" s="5"/>
      <c r="L29" s="3"/>
      <c r="M29" s="3"/>
      <c r="N29" s="3"/>
      <c r="O29" s="88">
        <f t="shared" si="1"/>
        <v>0</v>
      </c>
      <c r="P29" s="88">
        <f t="shared" si="2"/>
        <v>0</v>
      </c>
      <c r="Q29" s="88">
        <f t="shared" si="3"/>
        <v>0</v>
      </c>
      <c r="R29" s="88">
        <f t="shared" si="4"/>
        <v>0</v>
      </c>
      <c r="S29" s="88">
        <f t="shared" si="5"/>
        <v>0</v>
      </c>
      <c r="T29" s="3"/>
      <c r="U29" s="3">
        <f t="shared" si="0"/>
        <v>0</v>
      </c>
      <c r="Y29" s="1"/>
    </row>
    <row r="30" spans="1:27" ht="15.75" thickBot="1" x14ac:dyDescent="0.3">
      <c r="A30" s="23">
        <v>25</v>
      </c>
      <c r="B30" s="3"/>
      <c r="C30" s="3"/>
      <c r="D30" s="3"/>
      <c r="E30" s="3"/>
      <c r="F30" s="22"/>
      <c r="G30" s="3"/>
      <c r="H30" s="3"/>
      <c r="I30" s="3"/>
      <c r="J30" s="3"/>
      <c r="K30" s="5"/>
      <c r="L30" s="5"/>
      <c r="M30" s="3"/>
      <c r="N30" s="3"/>
      <c r="O30" s="88">
        <f t="shared" si="1"/>
        <v>0</v>
      </c>
      <c r="P30" s="88">
        <f t="shared" si="2"/>
        <v>0</v>
      </c>
      <c r="Q30" s="88">
        <f t="shared" si="3"/>
        <v>0</v>
      </c>
      <c r="R30" s="88">
        <f t="shared" si="4"/>
        <v>0</v>
      </c>
      <c r="S30" s="88">
        <f t="shared" si="5"/>
        <v>0</v>
      </c>
      <c r="T30" s="3"/>
      <c r="U30" s="3">
        <f t="shared" si="0"/>
        <v>0</v>
      </c>
      <c r="W30" s="46" t="s">
        <v>73</v>
      </c>
      <c r="X30" s="47">
        <v>0.5</v>
      </c>
    </row>
    <row r="31" spans="1:27" ht="15.75" thickBot="1" x14ac:dyDescent="0.3">
      <c r="A31" s="23">
        <v>26</v>
      </c>
      <c r="B31" s="3"/>
      <c r="C31" s="3"/>
      <c r="D31" s="3"/>
      <c r="E31" s="3"/>
      <c r="F31" s="22"/>
      <c r="G31" s="3"/>
      <c r="H31" s="3"/>
      <c r="I31" s="3"/>
      <c r="J31" s="3"/>
      <c r="K31" s="5"/>
      <c r="L31" s="3"/>
      <c r="M31" s="3"/>
      <c r="N31" s="3"/>
      <c r="O31" s="88">
        <f t="shared" si="1"/>
        <v>0</v>
      </c>
      <c r="P31" s="88">
        <f t="shared" si="2"/>
        <v>0</v>
      </c>
      <c r="Q31" s="88">
        <f t="shared" si="3"/>
        <v>0</v>
      </c>
      <c r="R31" s="88">
        <f t="shared" si="4"/>
        <v>0</v>
      </c>
      <c r="S31" s="88">
        <f t="shared" si="5"/>
        <v>0</v>
      </c>
      <c r="T31" s="3"/>
      <c r="U31" s="3">
        <f t="shared" si="0"/>
        <v>0</v>
      </c>
      <c r="W31" s="46" t="s">
        <v>46</v>
      </c>
      <c r="X31" s="48">
        <v>0.5</v>
      </c>
      <c r="Z31" s="111"/>
      <c r="AA31" s="112"/>
    </row>
    <row r="32" spans="1:27" ht="15.75" thickBot="1" x14ac:dyDescent="0.3">
      <c r="A32" s="23">
        <v>27</v>
      </c>
      <c r="B32" s="3"/>
      <c r="C32" s="3"/>
      <c r="D32" s="3"/>
      <c r="E32" s="3"/>
      <c r="F32" s="22"/>
      <c r="G32" s="3"/>
      <c r="H32" s="3"/>
      <c r="I32" s="3"/>
      <c r="J32" s="3"/>
      <c r="K32" s="5"/>
      <c r="L32" s="3"/>
      <c r="M32" s="3"/>
      <c r="N32" s="3"/>
      <c r="O32" s="88">
        <f t="shared" si="1"/>
        <v>0</v>
      </c>
      <c r="P32" s="88">
        <f t="shared" si="2"/>
        <v>0</v>
      </c>
      <c r="Q32" s="88">
        <f t="shared" si="3"/>
        <v>0</v>
      </c>
      <c r="R32" s="88">
        <f t="shared" si="4"/>
        <v>0</v>
      </c>
      <c r="S32" s="88">
        <f t="shared" si="5"/>
        <v>0</v>
      </c>
      <c r="T32" s="3"/>
      <c r="U32" s="3">
        <f t="shared" si="0"/>
        <v>0</v>
      </c>
      <c r="W32" s="1"/>
      <c r="X32" s="40"/>
      <c r="Y32" s="110" t="s">
        <v>71</v>
      </c>
      <c r="Z32" s="44"/>
      <c r="AA32" s="45"/>
    </row>
    <row r="33" spans="1:28" s="1" customFormat="1" ht="15.75" thickBot="1" x14ac:dyDescent="0.3">
      <c r="A33" s="23">
        <v>28</v>
      </c>
      <c r="B33" s="3"/>
      <c r="C33" s="3"/>
      <c r="D33" s="3"/>
      <c r="E33" s="3"/>
      <c r="F33" s="22"/>
      <c r="G33" s="3"/>
      <c r="H33" s="3"/>
      <c r="I33" s="3"/>
      <c r="J33" s="3"/>
      <c r="K33" s="5"/>
      <c r="L33" s="3"/>
      <c r="M33" s="3"/>
      <c r="N33" s="3"/>
      <c r="O33" s="88">
        <f t="shared" si="1"/>
        <v>0</v>
      </c>
      <c r="P33" s="88">
        <f t="shared" si="2"/>
        <v>0</v>
      </c>
      <c r="Q33" s="88">
        <f t="shared" si="3"/>
        <v>0</v>
      </c>
      <c r="R33" s="88">
        <f t="shared" si="4"/>
        <v>0</v>
      </c>
      <c r="S33" s="88">
        <f t="shared" si="5"/>
        <v>0</v>
      </c>
      <c r="T33" s="3"/>
      <c r="U33" s="3">
        <f t="shared" si="0"/>
        <v>0</v>
      </c>
      <c r="V33" s="6"/>
      <c r="X33" s="41"/>
      <c r="Y33" s="43" t="s">
        <v>72</v>
      </c>
      <c r="Z33" s="6"/>
      <c r="AA33" s="6"/>
      <c r="AB33" s="6"/>
    </row>
    <row r="34" spans="1:28" s="1" customFormat="1" x14ac:dyDescent="0.25">
      <c r="A34" s="23">
        <v>29</v>
      </c>
      <c r="B34" s="3"/>
      <c r="C34" s="3"/>
      <c r="D34" s="3"/>
      <c r="E34" s="3"/>
      <c r="F34" s="22"/>
      <c r="G34" s="3"/>
      <c r="H34" s="3"/>
      <c r="I34" s="3"/>
      <c r="J34" s="3"/>
      <c r="K34" s="5"/>
      <c r="L34" s="3"/>
      <c r="M34" s="3"/>
      <c r="N34" s="3"/>
      <c r="O34" s="88">
        <f t="shared" si="1"/>
        <v>0</v>
      </c>
      <c r="P34" s="88">
        <f t="shared" si="2"/>
        <v>0</v>
      </c>
      <c r="Q34" s="88">
        <f t="shared" si="3"/>
        <v>0</v>
      </c>
      <c r="R34" s="88">
        <f t="shared" si="4"/>
        <v>0</v>
      </c>
      <c r="S34" s="88">
        <f t="shared" si="5"/>
        <v>0</v>
      </c>
      <c r="T34" s="3"/>
      <c r="U34" s="3">
        <f t="shared" si="0"/>
        <v>0</v>
      </c>
      <c r="V34" s="6"/>
      <c r="W34" s="6"/>
      <c r="Y34" s="6"/>
      <c r="Z34" s="6"/>
      <c r="AA34" s="6"/>
      <c r="AB34" s="6"/>
    </row>
    <row r="35" spans="1:28" s="1" customFormat="1" x14ac:dyDescent="0.25">
      <c r="A35" s="20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Y35" s="6"/>
      <c r="Z35" s="6"/>
      <c r="AA35" s="6"/>
      <c r="AB35" s="6"/>
    </row>
    <row r="36" spans="1:28" s="1" customFormat="1" x14ac:dyDescent="0.25">
      <c r="A36" s="139" t="s">
        <v>47</v>
      </c>
      <c r="B36" s="139"/>
      <c r="C36" s="21">
        <f>SUM(C4:C34)</f>
        <v>0</v>
      </c>
      <c r="D36" s="21">
        <f t="shared" ref="D36:I36" si="6">SUM(D4:D34)</f>
        <v>0</v>
      </c>
      <c r="E36" s="21">
        <f t="shared" si="6"/>
        <v>0</v>
      </c>
      <c r="F36" s="21">
        <f t="shared" si="6"/>
        <v>0</v>
      </c>
      <c r="G36" s="21">
        <f t="shared" si="6"/>
        <v>0</v>
      </c>
      <c r="H36" s="21">
        <f t="shared" si="6"/>
        <v>0</v>
      </c>
      <c r="I36" s="21">
        <f t="shared" si="6"/>
        <v>0</v>
      </c>
      <c r="J36" s="18"/>
      <c r="K36" s="1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Y36" s="6"/>
      <c r="Z36" s="6"/>
      <c r="AA36" s="6"/>
      <c r="AB36" s="6"/>
    </row>
    <row r="37" spans="1:28" s="1" customFormat="1" x14ac:dyDescent="0.25">
      <c r="A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Y37" s="6"/>
      <c r="Z37" s="6"/>
      <c r="AA37" s="6"/>
      <c r="AB37" s="6"/>
    </row>
    <row r="38" spans="1:28" s="1" customFormat="1" x14ac:dyDescent="0.25">
      <c r="A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Y38" s="6"/>
      <c r="Z38" s="6"/>
      <c r="AA38" s="6"/>
      <c r="AB38" s="6"/>
    </row>
    <row r="39" spans="1:28" s="1" customFormat="1" x14ac:dyDescent="0.25">
      <c r="A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Y39" s="6"/>
      <c r="Z39" s="6"/>
      <c r="AA39" s="6"/>
      <c r="AB39" s="6"/>
    </row>
    <row r="464" spans="25:25" x14ac:dyDescent="0.25">
      <c r="Y464" s="1"/>
    </row>
  </sheetData>
  <mergeCells count="2">
    <mergeCell ref="A1:U2"/>
    <mergeCell ref="A36:B36"/>
  </mergeCells>
  <pageMargins left="0.7" right="0.7" top="0.75" bottom="0.75" header="0.3" footer="0.3"/>
  <pageSetup paperSize="25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B039D-F9DB-4178-9972-F71C51DA7B28}">
  <dimension ref="A1:AB464"/>
  <sheetViews>
    <sheetView topLeftCell="F1" workbookViewId="0">
      <selection activeCell="X5" sqref="X5"/>
    </sheetView>
  </sheetViews>
  <sheetFormatPr defaultRowHeight="15" x14ac:dyDescent="0.25"/>
  <cols>
    <col min="1" max="1" width="4.28515625" style="6" bestFit="1" customWidth="1"/>
    <col min="2" max="2" width="15.28515625" style="1" bestFit="1" customWidth="1"/>
    <col min="3" max="3" width="15.85546875" style="6" bestFit="1" customWidth="1"/>
    <col min="4" max="4" width="16.85546875" style="6" bestFit="1" customWidth="1"/>
    <col min="5" max="9" width="16.85546875" style="6" customWidth="1"/>
    <col min="10" max="10" width="14.28515625" style="6" bestFit="1" customWidth="1"/>
    <col min="11" max="12" width="10.7109375" style="6" bestFit="1" customWidth="1"/>
    <col min="13" max="13" width="12.5703125" style="6" bestFit="1" customWidth="1"/>
    <col min="14" max="14" width="12.5703125" style="6" customWidth="1"/>
    <col min="15" max="15" width="9.5703125" style="6" bestFit="1" customWidth="1"/>
    <col min="16" max="16" width="11.28515625" style="6" bestFit="1" customWidth="1"/>
    <col min="17" max="17" width="15.140625" style="6" bestFit="1" customWidth="1"/>
    <col min="18" max="19" width="9.5703125" style="6" bestFit="1" customWidth="1"/>
    <col min="20" max="20" width="14.5703125" style="6" bestFit="1" customWidth="1"/>
    <col min="21" max="21" width="19" style="6" bestFit="1" customWidth="1"/>
    <col min="22" max="22" width="15.85546875" style="6" customWidth="1"/>
    <col min="23" max="23" width="28.85546875" style="6" bestFit="1" customWidth="1"/>
    <col min="24" max="24" width="11.7109375" style="1" bestFit="1" customWidth="1"/>
    <col min="25" max="25" width="10.7109375" style="6" bestFit="1" customWidth="1"/>
    <col min="26" max="26" width="15.28515625" style="6" bestFit="1" customWidth="1"/>
    <col min="27" max="27" width="21.7109375" style="6" bestFit="1" customWidth="1"/>
    <col min="28" max="28" width="15.85546875" style="6" customWidth="1"/>
    <col min="29" max="16384" width="9.140625" style="6"/>
  </cols>
  <sheetData>
    <row r="1" spans="1:28" ht="15.75" thickBot="1" x14ac:dyDescent="0.3">
      <c r="A1" s="138" t="s">
        <v>61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</row>
    <row r="2" spans="1:28" x14ac:dyDescent="0.25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W2" s="62"/>
      <c r="X2" s="63" t="s">
        <v>49</v>
      </c>
      <c r="Y2" s="64" t="s">
        <v>50</v>
      </c>
    </row>
    <row r="3" spans="1:28" x14ac:dyDescent="0.25">
      <c r="A3" s="9" t="s">
        <v>21</v>
      </c>
      <c r="B3" s="7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9" t="s">
        <v>31</v>
      </c>
      <c r="L3" s="8" t="s">
        <v>32</v>
      </c>
      <c r="M3" s="8" t="s">
        <v>33</v>
      </c>
      <c r="N3" s="8" t="s">
        <v>94</v>
      </c>
      <c r="O3" s="8" t="s">
        <v>34</v>
      </c>
      <c r="P3" s="8" t="s">
        <v>58</v>
      </c>
      <c r="Q3" s="8" t="s">
        <v>35</v>
      </c>
      <c r="R3" s="8" t="s">
        <v>36</v>
      </c>
      <c r="S3" s="8" t="s">
        <v>37</v>
      </c>
      <c r="T3" s="8" t="s">
        <v>38</v>
      </c>
      <c r="U3" s="9" t="s">
        <v>39</v>
      </c>
      <c r="W3" s="49" t="s">
        <v>17</v>
      </c>
      <c r="X3" s="51">
        <f>SUM(C35:I35)</f>
        <v>0</v>
      </c>
      <c r="Y3" s="51"/>
      <c r="AA3" s="60" t="s">
        <v>75</v>
      </c>
      <c r="AB3" s="60" t="s">
        <v>74</v>
      </c>
    </row>
    <row r="4" spans="1:28" x14ac:dyDescent="0.25">
      <c r="A4" s="23">
        <v>30</v>
      </c>
      <c r="B4" s="19"/>
      <c r="C4" s="4"/>
      <c r="D4" s="4"/>
      <c r="E4" s="4"/>
      <c r="F4" s="4"/>
      <c r="G4" s="4"/>
      <c r="H4" s="4"/>
      <c r="I4" s="4"/>
      <c r="J4" s="4"/>
      <c r="K4" s="10"/>
      <c r="L4" s="3"/>
      <c r="M4" s="3"/>
      <c r="N4" s="3"/>
      <c r="O4" s="88">
        <f>$X$18/30</f>
        <v>0</v>
      </c>
      <c r="P4" s="88">
        <f>$X$17/30</f>
        <v>0</v>
      </c>
      <c r="Q4" s="88">
        <f>$X$16/30</f>
        <v>0</v>
      </c>
      <c r="R4" s="88">
        <f>$X$19/30</f>
        <v>0</v>
      </c>
      <c r="S4" s="88">
        <f>$X$15/30</f>
        <v>0</v>
      </c>
      <c r="T4" s="3"/>
      <c r="U4" s="3">
        <f>C4+B4+K4+L4+M4+O4+P4+Q4+R4+S4+T4+D4+E4+F4+G4+I4+H4</f>
        <v>0</v>
      </c>
      <c r="W4" s="49" t="s">
        <v>40</v>
      </c>
      <c r="X4" s="53">
        <v>0.04</v>
      </c>
      <c r="Y4" s="53"/>
      <c r="AA4" s="58" t="str">
        <f>IFERROR(-(X3/(X6+X7)),"")</f>
        <v/>
      </c>
      <c r="AB4" s="59" t="str">
        <f>IF($AA$4 &gt; 12, "⭐ Excelente", IF($AA$4 &gt;= 6, "✅ Saudável", IF($AA$4 &lt; 5, "🛑 Perigo", "⚠️ Atenção")))</f>
        <v>⭐ Excelente</v>
      </c>
    </row>
    <row r="5" spans="1:28" x14ac:dyDescent="0.25">
      <c r="A5" s="23">
        <v>31</v>
      </c>
      <c r="B5" s="19"/>
      <c r="C5" s="3"/>
      <c r="D5" s="3"/>
      <c r="E5" s="3"/>
      <c r="F5" s="3"/>
      <c r="G5" s="3"/>
      <c r="H5" s="3"/>
      <c r="I5" s="3"/>
      <c r="J5" s="3"/>
      <c r="K5" s="5"/>
      <c r="L5" s="3"/>
      <c r="M5" s="3"/>
      <c r="N5" s="3"/>
      <c r="O5" s="88">
        <f t="shared" ref="O5:O34" si="0">$X$18/30</f>
        <v>0</v>
      </c>
      <c r="P5" s="88">
        <f t="shared" ref="P5:P34" si="1">$X$17/30</f>
        <v>0</v>
      </c>
      <c r="Q5" s="88">
        <f t="shared" ref="Q5:Q34" si="2">$X$16/30</f>
        <v>0</v>
      </c>
      <c r="R5" s="88">
        <f t="shared" ref="R5:R34" si="3">$X$19/30</f>
        <v>0</v>
      </c>
      <c r="S5" s="88">
        <f t="shared" ref="S5:S34" si="4">$X$15/30</f>
        <v>0</v>
      </c>
      <c r="T5" s="3"/>
      <c r="U5" s="3">
        <f t="shared" ref="U5:U34" si="5">C5+B5+K5+L5+M5+O5+P5+Q5+R5+S5+T5+D5+E5+F5+G5+I5+H5</f>
        <v>0</v>
      </c>
      <c r="W5" s="49" t="s">
        <v>51</v>
      </c>
      <c r="X5" s="51">
        <f>SUM(B4:B33)</f>
        <v>0</v>
      </c>
      <c r="Y5" s="52"/>
      <c r="Z5" s="1"/>
      <c r="AB5" s="1"/>
    </row>
    <row r="6" spans="1:28" x14ac:dyDescent="0.25">
      <c r="A6" s="23">
        <v>1</v>
      </c>
      <c r="B6" s="19"/>
      <c r="C6" s="3"/>
      <c r="D6" s="3"/>
      <c r="E6" s="3"/>
      <c r="F6" s="3"/>
      <c r="G6" s="3"/>
      <c r="H6" s="3"/>
      <c r="I6" s="3"/>
      <c r="J6" s="3"/>
      <c r="K6" s="5"/>
      <c r="L6" s="3"/>
      <c r="M6" s="3"/>
      <c r="N6" s="3"/>
      <c r="O6" s="88">
        <f t="shared" si="0"/>
        <v>0</v>
      </c>
      <c r="P6" s="88">
        <f t="shared" si="1"/>
        <v>0</v>
      </c>
      <c r="Q6" s="88">
        <f t="shared" si="2"/>
        <v>0</v>
      </c>
      <c r="R6" s="88">
        <f t="shared" si="3"/>
        <v>0</v>
      </c>
      <c r="S6" s="88">
        <f t="shared" si="4"/>
        <v>0</v>
      </c>
      <c r="T6" s="3"/>
      <c r="U6" s="3">
        <f t="shared" si="5"/>
        <v>0</v>
      </c>
      <c r="W6" s="49" t="s">
        <v>52</v>
      </c>
      <c r="X6" s="51">
        <f>SUM(K4:K33)</f>
        <v>0</v>
      </c>
      <c r="Y6" s="52"/>
      <c r="AA6" s="95" t="s">
        <v>86</v>
      </c>
      <c r="AB6" s="94" t="str">
        <f>IFERROR(ABS(SUM(X14:X19)) / ((X3 - ABS(SUM(X5:X12))) / X3), "")</f>
        <v/>
      </c>
    </row>
    <row r="7" spans="1:28" x14ac:dyDescent="0.25">
      <c r="A7" s="23">
        <v>2</v>
      </c>
      <c r="B7" s="3"/>
      <c r="C7" s="3"/>
      <c r="D7" s="3"/>
      <c r="E7" s="3"/>
      <c r="F7" s="3"/>
      <c r="G7" s="3"/>
      <c r="H7" s="3"/>
      <c r="I7" s="3"/>
      <c r="J7" s="3"/>
      <c r="K7" s="5"/>
      <c r="L7" s="3"/>
      <c r="M7" s="3"/>
      <c r="N7" s="3"/>
      <c r="O7" s="88">
        <f t="shared" si="0"/>
        <v>0</v>
      </c>
      <c r="P7" s="88">
        <f t="shared" si="1"/>
        <v>0</v>
      </c>
      <c r="Q7" s="88">
        <f t="shared" si="2"/>
        <v>0</v>
      </c>
      <c r="R7" s="88">
        <f t="shared" si="3"/>
        <v>0</v>
      </c>
      <c r="S7" s="88">
        <f t="shared" si="4"/>
        <v>0</v>
      </c>
      <c r="T7" s="3"/>
      <c r="U7" s="3">
        <f t="shared" si="5"/>
        <v>0</v>
      </c>
      <c r="W7" s="49" t="s">
        <v>53</v>
      </c>
      <c r="X7" s="55"/>
      <c r="Y7" s="55"/>
    </row>
    <row r="8" spans="1:28" x14ac:dyDescent="0.25">
      <c r="A8" s="23">
        <v>3</v>
      </c>
      <c r="B8" s="3"/>
      <c r="C8" s="3"/>
      <c r="D8" s="3"/>
      <c r="E8" s="3"/>
      <c r="F8" s="3"/>
      <c r="G8" s="3"/>
      <c r="H8" s="3"/>
      <c r="I8" s="3"/>
      <c r="J8" s="3"/>
      <c r="K8" s="5"/>
      <c r="L8" s="3"/>
      <c r="M8" s="3"/>
      <c r="N8" s="3"/>
      <c r="O8" s="88">
        <f t="shared" si="0"/>
        <v>0</v>
      </c>
      <c r="P8" s="88">
        <f t="shared" si="1"/>
        <v>0</v>
      </c>
      <c r="Q8" s="88">
        <f t="shared" si="2"/>
        <v>0</v>
      </c>
      <c r="R8" s="88">
        <f t="shared" si="3"/>
        <v>0</v>
      </c>
      <c r="S8" s="88">
        <f t="shared" si="4"/>
        <v>0</v>
      </c>
      <c r="T8" s="3"/>
      <c r="U8" s="3">
        <f t="shared" si="5"/>
        <v>0</v>
      </c>
      <c r="W8" s="49" t="s">
        <v>41</v>
      </c>
      <c r="X8" s="51">
        <f>(SUM(J4:J33))/31</f>
        <v>0</v>
      </c>
      <c r="Y8" s="51"/>
    </row>
    <row r="9" spans="1:28" x14ac:dyDescent="0.25">
      <c r="A9" s="23">
        <v>4</v>
      </c>
      <c r="B9" s="3"/>
      <c r="C9" s="3"/>
      <c r="D9" s="3"/>
      <c r="E9" s="3"/>
      <c r="F9" s="3"/>
      <c r="G9" s="3"/>
      <c r="H9" s="3"/>
      <c r="I9" s="3"/>
      <c r="J9" s="3"/>
      <c r="K9" s="5"/>
      <c r="L9" s="3"/>
      <c r="M9" s="3"/>
      <c r="N9" s="3"/>
      <c r="O9" s="88">
        <f t="shared" si="0"/>
        <v>0</v>
      </c>
      <c r="P9" s="88">
        <f t="shared" si="1"/>
        <v>0</v>
      </c>
      <c r="Q9" s="88">
        <f t="shared" si="2"/>
        <v>0</v>
      </c>
      <c r="R9" s="88">
        <f t="shared" si="3"/>
        <v>0</v>
      </c>
      <c r="S9" s="88">
        <f t="shared" si="4"/>
        <v>0</v>
      </c>
      <c r="T9" s="3"/>
      <c r="U9" s="3">
        <f t="shared" si="5"/>
        <v>0</v>
      </c>
      <c r="W9" s="49" t="s">
        <v>54</v>
      </c>
      <c r="X9" s="51">
        <f>SUM(L4:L33)</f>
        <v>0</v>
      </c>
      <c r="Y9" s="52"/>
    </row>
    <row r="10" spans="1:28" x14ac:dyDescent="0.25">
      <c r="A10" s="23">
        <v>5</v>
      </c>
      <c r="B10" s="3"/>
      <c r="C10" s="3"/>
      <c r="D10" s="3"/>
      <c r="E10" s="3"/>
      <c r="F10" s="3"/>
      <c r="G10" s="3"/>
      <c r="H10" s="3"/>
      <c r="I10" s="3"/>
      <c r="J10" s="3"/>
      <c r="K10" s="5"/>
      <c r="L10" s="3"/>
      <c r="M10" s="3"/>
      <c r="N10" s="3"/>
      <c r="O10" s="88">
        <f t="shared" si="0"/>
        <v>0</v>
      </c>
      <c r="P10" s="88">
        <f t="shared" si="1"/>
        <v>0</v>
      </c>
      <c r="Q10" s="88">
        <f t="shared" si="2"/>
        <v>0</v>
      </c>
      <c r="R10" s="88">
        <f t="shared" si="3"/>
        <v>0</v>
      </c>
      <c r="S10" s="88">
        <f t="shared" si="4"/>
        <v>0</v>
      </c>
      <c r="T10" s="3"/>
      <c r="U10" s="3">
        <f t="shared" si="5"/>
        <v>0</v>
      </c>
      <c r="W10" s="49" t="s">
        <v>55</v>
      </c>
      <c r="X10" s="51">
        <f>SUM(M4:M33)</f>
        <v>0</v>
      </c>
      <c r="Y10" s="52"/>
    </row>
    <row r="11" spans="1:28" x14ac:dyDescent="0.25">
      <c r="A11" s="23">
        <v>6</v>
      </c>
      <c r="B11" s="19"/>
      <c r="C11" s="3"/>
      <c r="D11" s="3"/>
      <c r="E11" s="3"/>
      <c r="F11" s="3"/>
      <c r="G11" s="3"/>
      <c r="H11" s="3"/>
      <c r="I11" s="3"/>
      <c r="J11" s="3"/>
      <c r="K11" s="5"/>
      <c r="L11" s="3"/>
      <c r="M11" s="3"/>
      <c r="N11" s="3"/>
      <c r="O11" s="88">
        <f t="shared" si="0"/>
        <v>0</v>
      </c>
      <c r="P11" s="88">
        <f t="shared" si="1"/>
        <v>0</v>
      </c>
      <c r="Q11" s="88">
        <f t="shared" si="2"/>
        <v>0</v>
      </c>
      <c r="R11" s="88">
        <f t="shared" si="3"/>
        <v>0</v>
      </c>
      <c r="S11" s="88">
        <f t="shared" si="4"/>
        <v>0</v>
      </c>
      <c r="T11" s="3"/>
      <c r="U11" s="3">
        <f t="shared" si="5"/>
        <v>0</v>
      </c>
      <c r="W11" s="49" t="s">
        <v>94</v>
      </c>
      <c r="X11" s="51">
        <f>SUM(N4:N34)</f>
        <v>0</v>
      </c>
      <c r="Y11" s="52"/>
    </row>
    <row r="12" spans="1:28" x14ac:dyDescent="0.25">
      <c r="A12" s="23">
        <v>7</v>
      </c>
      <c r="B12" s="3"/>
      <c r="C12" s="3"/>
      <c r="D12" s="3"/>
      <c r="E12" s="3"/>
      <c r="F12" s="3"/>
      <c r="G12" s="3"/>
      <c r="H12" s="3"/>
      <c r="I12" s="3"/>
      <c r="J12" s="3"/>
      <c r="K12" s="5"/>
      <c r="L12" s="3"/>
      <c r="M12" s="3"/>
      <c r="N12" s="3"/>
      <c r="O12" s="88">
        <f t="shared" si="0"/>
        <v>0</v>
      </c>
      <c r="P12" s="88">
        <f t="shared" si="1"/>
        <v>0</v>
      </c>
      <c r="Q12" s="88">
        <f t="shared" si="2"/>
        <v>0</v>
      </c>
      <c r="R12" s="88">
        <f t="shared" si="3"/>
        <v>0</v>
      </c>
      <c r="S12" s="88">
        <f t="shared" si="4"/>
        <v>0</v>
      </c>
      <c r="T12" s="3"/>
      <c r="U12" s="3">
        <f t="shared" si="5"/>
        <v>0</v>
      </c>
      <c r="W12" s="49" t="s">
        <v>56</v>
      </c>
      <c r="X12" s="51">
        <f>-X3*X4</f>
        <v>0</v>
      </c>
      <c r="Y12" s="52"/>
    </row>
    <row r="13" spans="1:28" x14ac:dyDescent="0.25">
      <c r="A13" s="23">
        <v>8</v>
      </c>
      <c r="B13" s="3"/>
      <c r="C13" s="3"/>
      <c r="D13" s="3"/>
      <c r="E13" s="3"/>
      <c r="F13" s="3"/>
      <c r="G13" s="3"/>
      <c r="H13" s="3"/>
      <c r="I13" s="3"/>
      <c r="J13" s="3"/>
      <c r="K13" s="5"/>
      <c r="L13" s="3"/>
      <c r="M13" s="3"/>
      <c r="N13" s="3"/>
      <c r="O13" s="88">
        <f t="shared" si="0"/>
        <v>0</v>
      </c>
      <c r="P13" s="88">
        <f t="shared" si="1"/>
        <v>0</v>
      </c>
      <c r="Q13" s="88">
        <f t="shared" si="2"/>
        <v>0</v>
      </c>
      <c r="R13" s="88">
        <f t="shared" si="3"/>
        <v>0</v>
      </c>
      <c r="S13" s="88">
        <f t="shared" si="4"/>
        <v>0</v>
      </c>
      <c r="T13" s="3"/>
      <c r="U13" s="3">
        <f t="shared" si="5"/>
        <v>0</v>
      </c>
      <c r="W13" s="49" t="s">
        <v>57</v>
      </c>
      <c r="X13" s="55"/>
      <c r="Y13" s="52"/>
    </row>
    <row r="14" spans="1:28" x14ac:dyDescent="0.25">
      <c r="A14" s="23">
        <v>9</v>
      </c>
      <c r="B14" s="3"/>
      <c r="C14" s="3"/>
      <c r="D14" s="3"/>
      <c r="E14" s="3"/>
      <c r="F14" s="3"/>
      <c r="G14" s="3"/>
      <c r="H14" s="3"/>
      <c r="I14" s="3"/>
      <c r="J14" s="3"/>
      <c r="K14" s="5"/>
      <c r="L14" s="3"/>
      <c r="M14" s="3"/>
      <c r="N14" s="3"/>
      <c r="O14" s="88">
        <f t="shared" si="0"/>
        <v>0</v>
      </c>
      <c r="P14" s="88">
        <f t="shared" si="1"/>
        <v>0</v>
      </c>
      <c r="Q14" s="88">
        <f t="shared" si="2"/>
        <v>0</v>
      </c>
      <c r="R14" s="88">
        <f t="shared" si="3"/>
        <v>0</v>
      </c>
      <c r="S14" s="88">
        <f t="shared" si="4"/>
        <v>0</v>
      </c>
      <c r="T14" s="3"/>
      <c r="U14" s="3">
        <f t="shared" si="5"/>
        <v>0</v>
      </c>
      <c r="W14" s="49" t="s">
        <v>38</v>
      </c>
      <c r="X14" s="51">
        <f>SUM(T4:T33)</f>
        <v>0</v>
      </c>
      <c r="Y14" s="52"/>
    </row>
    <row r="15" spans="1:28" x14ac:dyDescent="0.25">
      <c r="A15" s="23">
        <v>10</v>
      </c>
      <c r="B15" s="3"/>
      <c r="C15" s="3"/>
      <c r="D15" s="3"/>
      <c r="E15" s="3"/>
      <c r="F15" s="22"/>
      <c r="G15" s="3"/>
      <c r="H15" s="3"/>
      <c r="I15" s="3"/>
      <c r="J15" s="3"/>
      <c r="K15" s="5"/>
      <c r="L15" s="3"/>
      <c r="M15" s="3"/>
      <c r="N15" s="3"/>
      <c r="O15" s="88">
        <f t="shared" si="0"/>
        <v>0</v>
      </c>
      <c r="P15" s="88">
        <f t="shared" si="1"/>
        <v>0</v>
      </c>
      <c r="Q15" s="88">
        <f t="shared" si="2"/>
        <v>0</v>
      </c>
      <c r="R15" s="88">
        <f t="shared" si="3"/>
        <v>0</v>
      </c>
      <c r="S15" s="88">
        <f t="shared" si="4"/>
        <v>0</v>
      </c>
      <c r="T15" s="3"/>
      <c r="U15" s="3">
        <f t="shared" si="5"/>
        <v>0</v>
      </c>
      <c r="W15" s="49" t="s">
        <v>37</v>
      </c>
      <c r="X15" s="55"/>
      <c r="Y15" s="52"/>
    </row>
    <row r="16" spans="1:28" x14ac:dyDescent="0.25">
      <c r="A16" s="23">
        <v>11</v>
      </c>
      <c r="B16" s="3"/>
      <c r="C16" s="3"/>
      <c r="D16" s="3"/>
      <c r="E16" s="3"/>
      <c r="F16" s="3"/>
      <c r="G16" s="3"/>
      <c r="H16" s="3"/>
      <c r="I16" s="3"/>
      <c r="J16" s="3"/>
      <c r="K16" s="5"/>
      <c r="L16" s="3"/>
      <c r="M16" s="3"/>
      <c r="N16" s="3"/>
      <c r="O16" s="88">
        <f t="shared" si="0"/>
        <v>0</v>
      </c>
      <c r="P16" s="88">
        <f t="shared" si="1"/>
        <v>0</v>
      </c>
      <c r="Q16" s="88">
        <f t="shared" si="2"/>
        <v>0</v>
      </c>
      <c r="R16" s="88">
        <f t="shared" si="3"/>
        <v>0</v>
      </c>
      <c r="S16" s="88">
        <f t="shared" si="4"/>
        <v>0</v>
      </c>
      <c r="T16" s="3"/>
      <c r="U16" s="3">
        <f t="shared" si="5"/>
        <v>0</v>
      </c>
      <c r="W16" s="49" t="s">
        <v>35</v>
      </c>
      <c r="X16" s="55"/>
      <c r="Y16" s="52"/>
    </row>
    <row r="17" spans="1:27" x14ac:dyDescent="0.25">
      <c r="A17" s="23">
        <v>12</v>
      </c>
      <c r="B17" s="3"/>
      <c r="C17" s="3"/>
      <c r="D17" s="3"/>
      <c r="E17" s="3"/>
      <c r="F17" s="3"/>
      <c r="G17" s="3"/>
      <c r="H17" s="3"/>
      <c r="I17" s="3"/>
      <c r="J17" s="3"/>
      <c r="K17" s="5"/>
      <c r="L17" s="3"/>
      <c r="M17" s="3"/>
      <c r="N17" s="3"/>
      <c r="O17" s="88">
        <f t="shared" si="0"/>
        <v>0</v>
      </c>
      <c r="P17" s="88">
        <f t="shared" si="1"/>
        <v>0</v>
      </c>
      <c r="Q17" s="88">
        <f t="shared" si="2"/>
        <v>0</v>
      </c>
      <c r="R17" s="88">
        <f t="shared" si="3"/>
        <v>0</v>
      </c>
      <c r="S17" s="88">
        <f t="shared" si="4"/>
        <v>0</v>
      </c>
      <c r="T17" s="3"/>
      <c r="U17" s="3">
        <f t="shared" si="5"/>
        <v>0</v>
      </c>
      <c r="W17" s="49" t="s">
        <v>58</v>
      </c>
      <c r="X17" s="55">
        <v>0</v>
      </c>
      <c r="Y17" s="52"/>
    </row>
    <row r="18" spans="1:27" x14ac:dyDescent="0.25">
      <c r="A18" s="23">
        <v>13</v>
      </c>
      <c r="B18" s="3"/>
      <c r="C18" s="3"/>
      <c r="D18" s="3"/>
      <c r="E18" s="3"/>
      <c r="F18" s="3"/>
      <c r="G18" s="3"/>
      <c r="H18" s="3"/>
      <c r="I18" s="3"/>
      <c r="J18" s="3"/>
      <c r="K18" s="5"/>
      <c r="L18" s="3"/>
      <c r="M18" s="3"/>
      <c r="N18" s="3"/>
      <c r="O18" s="88">
        <f t="shared" si="0"/>
        <v>0</v>
      </c>
      <c r="P18" s="88">
        <f t="shared" si="1"/>
        <v>0</v>
      </c>
      <c r="Q18" s="88">
        <f t="shared" si="2"/>
        <v>0</v>
      </c>
      <c r="R18" s="88">
        <f t="shared" si="3"/>
        <v>0</v>
      </c>
      <c r="S18" s="88">
        <f t="shared" si="4"/>
        <v>0</v>
      </c>
      <c r="T18" s="3"/>
      <c r="U18" s="3">
        <f t="shared" si="5"/>
        <v>0</v>
      </c>
      <c r="W18" s="49" t="s">
        <v>90</v>
      </c>
      <c r="X18" s="55"/>
      <c r="Y18" s="52"/>
    </row>
    <row r="19" spans="1:27" x14ac:dyDescent="0.25">
      <c r="A19" s="23">
        <v>14</v>
      </c>
      <c r="B19" s="3"/>
      <c r="C19" s="3"/>
      <c r="D19" s="3"/>
      <c r="E19" s="3"/>
      <c r="F19" s="3"/>
      <c r="G19" s="3"/>
      <c r="H19" s="3"/>
      <c r="I19" s="3"/>
      <c r="J19" s="3"/>
      <c r="K19" s="5"/>
      <c r="L19" s="3"/>
      <c r="M19" s="3"/>
      <c r="N19" s="3"/>
      <c r="O19" s="88">
        <f t="shared" si="0"/>
        <v>0</v>
      </c>
      <c r="P19" s="88">
        <f t="shared" si="1"/>
        <v>0</v>
      </c>
      <c r="Q19" s="88">
        <f t="shared" si="2"/>
        <v>0</v>
      </c>
      <c r="R19" s="88">
        <f t="shared" si="3"/>
        <v>0</v>
      </c>
      <c r="S19" s="88">
        <f t="shared" si="4"/>
        <v>0</v>
      </c>
      <c r="T19" s="3"/>
      <c r="U19" s="3">
        <f t="shared" si="5"/>
        <v>0</v>
      </c>
      <c r="W19" s="49" t="s">
        <v>91</v>
      </c>
      <c r="X19" s="51">
        <f>(X18*20%)+(-X21*11%)</f>
        <v>0</v>
      </c>
      <c r="Y19" s="52"/>
    </row>
    <row r="20" spans="1:27" x14ac:dyDescent="0.25">
      <c r="A20" s="23">
        <v>15</v>
      </c>
      <c r="B20" s="3"/>
      <c r="C20" s="3"/>
      <c r="D20" s="3"/>
      <c r="E20" s="3"/>
      <c r="F20" s="3"/>
      <c r="G20" s="3"/>
      <c r="H20" s="3"/>
      <c r="I20" s="3"/>
      <c r="J20" s="3"/>
      <c r="K20" s="5"/>
      <c r="L20" s="3"/>
      <c r="M20" s="3"/>
      <c r="N20" s="3"/>
      <c r="O20" s="88">
        <f t="shared" si="0"/>
        <v>0</v>
      </c>
      <c r="P20" s="88">
        <f t="shared" si="1"/>
        <v>0</v>
      </c>
      <c r="Q20" s="88">
        <f t="shared" si="2"/>
        <v>0</v>
      </c>
      <c r="R20" s="88">
        <f t="shared" si="3"/>
        <v>0</v>
      </c>
      <c r="S20" s="88">
        <f t="shared" si="4"/>
        <v>0</v>
      </c>
      <c r="T20" s="3"/>
      <c r="U20" s="3">
        <f t="shared" si="5"/>
        <v>0</v>
      </c>
      <c r="W20" s="49" t="s">
        <v>42</v>
      </c>
      <c r="X20" s="55"/>
      <c r="Y20" s="52"/>
    </row>
    <row r="21" spans="1:27" ht="15.75" thickBot="1" x14ac:dyDescent="0.3">
      <c r="A21" s="23">
        <v>16</v>
      </c>
      <c r="B21" s="3"/>
      <c r="C21" s="3"/>
      <c r="D21" s="3"/>
      <c r="E21" s="3"/>
      <c r="F21" s="3"/>
      <c r="G21" s="3"/>
      <c r="H21" s="3"/>
      <c r="I21" s="3"/>
      <c r="J21" s="3"/>
      <c r="K21" s="5"/>
      <c r="L21" s="3"/>
      <c r="M21" s="3"/>
      <c r="N21" s="3"/>
      <c r="O21" s="88">
        <f t="shared" si="0"/>
        <v>0</v>
      </c>
      <c r="P21" s="88">
        <f t="shared" si="1"/>
        <v>0</v>
      </c>
      <c r="Q21" s="88">
        <f t="shared" si="2"/>
        <v>0</v>
      </c>
      <c r="R21" s="88">
        <f t="shared" si="3"/>
        <v>0</v>
      </c>
      <c r="S21" s="88">
        <f t="shared" si="4"/>
        <v>0</v>
      </c>
      <c r="T21" s="3"/>
      <c r="U21" s="3">
        <f t="shared" si="5"/>
        <v>0</v>
      </c>
      <c r="W21" s="50" t="s">
        <v>43</v>
      </c>
      <c r="X21" s="56">
        <f>X3+X5+X6+X9+X10+X12+X13+X15+X16+X17+X18+X20+X7</f>
        <v>0</v>
      </c>
      <c r="Y21" s="35">
        <f>Y3+Y5+Y6+Y7+Y9+Y10+Y12+Y13+Y15+Y16+Y17+Y18+Y20</f>
        <v>0</v>
      </c>
      <c r="Z21" s="1"/>
      <c r="AA21" s="1"/>
    </row>
    <row r="22" spans="1:27" ht="15.75" thickBot="1" x14ac:dyDescent="0.3">
      <c r="A22" s="23">
        <v>17</v>
      </c>
      <c r="B22" s="3"/>
      <c r="C22" s="3"/>
      <c r="D22" s="3"/>
      <c r="E22" s="3"/>
      <c r="F22" s="3"/>
      <c r="G22" s="3"/>
      <c r="H22" s="3"/>
      <c r="I22" s="3"/>
      <c r="J22" s="3"/>
      <c r="K22" s="5"/>
      <c r="L22" s="3"/>
      <c r="M22" s="3"/>
      <c r="N22" s="3"/>
      <c r="O22" s="88">
        <f t="shared" si="0"/>
        <v>0</v>
      </c>
      <c r="P22" s="88">
        <f t="shared" si="1"/>
        <v>0</v>
      </c>
      <c r="Q22" s="88">
        <f t="shared" si="2"/>
        <v>0</v>
      </c>
      <c r="R22" s="88">
        <f t="shared" si="3"/>
        <v>0</v>
      </c>
      <c r="S22" s="88">
        <f t="shared" si="4"/>
        <v>0</v>
      </c>
      <c r="T22" s="3"/>
      <c r="U22" s="3">
        <f t="shared" si="5"/>
        <v>0</v>
      </c>
      <c r="W22" s="50" t="s">
        <v>92</v>
      </c>
      <c r="X22" s="56">
        <f>X3+X5+X6+X7+X9+X10+X12+X13+X14+X15+X16+X17+X18+X19+X20</f>
        <v>0</v>
      </c>
      <c r="Y22" s="35">
        <f>Y3+Y5+Y6+Y7+Y9+Y10+Y12+Y13+Y15+Y16+Y17+Y18+Y19+Y20</f>
        <v>0</v>
      </c>
    </row>
    <row r="23" spans="1:27" x14ac:dyDescent="0.25">
      <c r="A23" s="23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88">
        <f t="shared" si="0"/>
        <v>0</v>
      </c>
      <c r="P23" s="88">
        <f t="shared" si="1"/>
        <v>0</v>
      </c>
      <c r="Q23" s="88">
        <f t="shared" si="2"/>
        <v>0</v>
      </c>
      <c r="R23" s="88">
        <f t="shared" si="3"/>
        <v>0</v>
      </c>
      <c r="S23" s="88">
        <f t="shared" si="4"/>
        <v>0</v>
      </c>
      <c r="T23" s="3"/>
      <c r="U23" s="3">
        <f t="shared" si="5"/>
        <v>0</v>
      </c>
    </row>
    <row r="24" spans="1:27" x14ac:dyDescent="0.25">
      <c r="A24" s="23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88">
        <f t="shared" si="0"/>
        <v>0</v>
      </c>
      <c r="P24" s="88">
        <f t="shared" si="1"/>
        <v>0</v>
      </c>
      <c r="Q24" s="88">
        <f t="shared" si="2"/>
        <v>0</v>
      </c>
      <c r="R24" s="88">
        <f t="shared" si="3"/>
        <v>0</v>
      </c>
      <c r="S24" s="88">
        <f t="shared" si="4"/>
        <v>0</v>
      </c>
      <c r="T24" s="3"/>
      <c r="U24" s="3">
        <f t="shared" si="5"/>
        <v>0</v>
      </c>
      <c r="W24" s="13" t="s">
        <v>44</v>
      </c>
      <c r="X24" s="36">
        <f>X6+X5+X14+X13</f>
        <v>0</v>
      </c>
      <c r="Y24" s="14"/>
    </row>
    <row r="25" spans="1:27" x14ac:dyDescent="0.25">
      <c r="A25" s="23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88">
        <f t="shared" si="0"/>
        <v>0</v>
      </c>
      <c r="P25" s="88">
        <f t="shared" si="1"/>
        <v>0</v>
      </c>
      <c r="Q25" s="88">
        <f t="shared" si="2"/>
        <v>0</v>
      </c>
      <c r="R25" s="88">
        <f t="shared" si="3"/>
        <v>0</v>
      </c>
      <c r="S25" s="88">
        <f t="shared" si="4"/>
        <v>0</v>
      </c>
      <c r="T25" s="3"/>
      <c r="U25" s="3">
        <f t="shared" si="5"/>
        <v>0</v>
      </c>
    </row>
    <row r="26" spans="1:27" x14ac:dyDescent="0.25">
      <c r="A26" s="23">
        <v>21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88">
        <f t="shared" si="0"/>
        <v>0</v>
      </c>
      <c r="P26" s="88">
        <f t="shared" si="1"/>
        <v>0</v>
      </c>
      <c r="Q26" s="88">
        <f t="shared" si="2"/>
        <v>0</v>
      </c>
      <c r="R26" s="88">
        <f t="shared" si="3"/>
        <v>0</v>
      </c>
      <c r="S26" s="88">
        <f t="shared" si="4"/>
        <v>0</v>
      </c>
      <c r="T26" s="3"/>
      <c r="U26" s="3">
        <f t="shared" si="5"/>
        <v>0</v>
      </c>
      <c r="W26" s="1"/>
    </row>
    <row r="27" spans="1:27" x14ac:dyDescent="0.25">
      <c r="A27" s="23">
        <v>22</v>
      </c>
      <c r="B27" s="3"/>
      <c r="C27" s="3"/>
      <c r="D27" s="3"/>
      <c r="E27" s="3"/>
      <c r="F27" s="22"/>
      <c r="G27" s="3"/>
      <c r="H27" s="3"/>
      <c r="I27" s="3"/>
      <c r="J27" s="3"/>
      <c r="K27" s="5"/>
      <c r="L27" s="3"/>
      <c r="M27" s="3"/>
      <c r="N27" s="3"/>
      <c r="O27" s="88">
        <f t="shared" si="0"/>
        <v>0</v>
      </c>
      <c r="P27" s="88">
        <f t="shared" si="1"/>
        <v>0</v>
      </c>
      <c r="Q27" s="88">
        <f t="shared" si="2"/>
        <v>0</v>
      </c>
      <c r="R27" s="88">
        <f t="shared" si="3"/>
        <v>0</v>
      </c>
      <c r="S27" s="88">
        <f t="shared" si="4"/>
        <v>0</v>
      </c>
      <c r="T27" s="3"/>
      <c r="U27" s="3">
        <f t="shared" si="5"/>
        <v>0</v>
      </c>
      <c r="W27" s="11" t="s">
        <v>45</v>
      </c>
      <c r="X27" s="42">
        <f>(X22*X30)</f>
        <v>0</v>
      </c>
      <c r="Y27" s="12">
        <f>Y22*50%</f>
        <v>0</v>
      </c>
    </row>
    <row r="28" spans="1:27" x14ac:dyDescent="0.25">
      <c r="A28" s="23">
        <v>23</v>
      </c>
      <c r="B28" s="3"/>
      <c r="C28" s="3"/>
      <c r="D28" s="3"/>
      <c r="E28" s="3"/>
      <c r="F28" s="22"/>
      <c r="G28" s="3"/>
      <c r="H28" s="3"/>
      <c r="I28" s="3"/>
      <c r="J28" s="3"/>
      <c r="K28" s="5"/>
      <c r="L28" s="3"/>
      <c r="M28" s="3"/>
      <c r="N28" s="3"/>
      <c r="O28" s="88">
        <f t="shared" si="0"/>
        <v>0</v>
      </c>
      <c r="P28" s="88">
        <f t="shared" si="1"/>
        <v>0</v>
      </c>
      <c r="Q28" s="88">
        <f t="shared" si="2"/>
        <v>0</v>
      </c>
      <c r="R28" s="88">
        <f t="shared" si="3"/>
        <v>0</v>
      </c>
      <c r="S28" s="88">
        <f t="shared" si="4"/>
        <v>0</v>
      </c>
      <c r="T28" s="3"/>
      <c r="U28" s="3">
        <f t="shared" si="5"/>
        <v>0</v>
      </c>
      <c r="W28" s="11" t="s">
        <v>46</v>
      </c>
      <c r="X28" s="42">
        <f>X22*X31</f>
        <v>0</v>
      </c>
      <c r="Y28" s="12">
        <f>Y22*X31</f>
        <v>0</v>
      </c>
    </row>
    <row r="29" spans="1:27" ht="15.75" thickBot="1" x14ac:dyDescent="0.3">
      <c r="A29" s="23">
        <v>24</v>
      </c>
      <c r="B29" s="3"/>
      <c r="C29" s="3"/>
      <c r="D29" s="3"/>
      <c r="E29" s="3"/>
      <c r="F29" s="22"/>
      <c r="G29" s="3"/>
      <c r="H29" s="3"/>
      <c r="I29" s="3"/>
      <c r="J29" s="3"/>
      <c r="K29" s="5"/>
      <c r="L29" s="3"/>
      <c r="M29" s="3"/>
      <c r="N29" s="3"/>
      <c r="O29" s="88">
        <f t="shared" si="0"/>
        <v>0</v>
      </c>
      <c r="P29" s="88">
        <f t="shared" si="1"/>
        <v>0</v>
      </c>
      <c r="Q29" s="88">
        <f t="shared" si="2"/>
        <v>0</v>
      </c>
      <c r="R29" s="88">
        <f t="shared" si="3"/>
        <v>0</v>
      </c>
      <c r="S29" s="88">
        <f t="shared" si="4"/>
        <v>0</v>
      </c>
      <c r="T29" s="3"/>
      <c r="U29" s="3">
        <f t="shared" si="5"/>
        <v>0</v>
      </c>
      <c r="Y29" s="1"/>
    </row>
    <row r="30" spans="1:27" ht="15.75" thickBot="1" x14ac:dyDescent="0.3">
      <c r="A30" s="23">
        <v>25</v>
      </c>
      <c r="B30" s="3"/>
      <c r="C30" s="3"/>
      <c r="D30" s="3"/>
      <c r="E30" s="3"/>
      <c r="F30" s="22"/>
      <c r="G30" s="3"/>
      <c r="H30" s="3"/>
      <c r="I30" s="3"/>
      <c r="J30" s="3"/>
      <c r="K30" s="5"/>
      <c r="L30" s="5"/>
      <c r="M30" s="3"/>
      <c r="N30" s="3"/>
      <c r="O30" s="88">
        <f t="shared" si="0"/>
        <v>0</v>
      </c>
      <c r="P30" s="88">
        <f t="shared" si="1"/>
        <v>0</v>
      </c>
      <c r="Q30" s="88">
        <f t="shared" si="2"/>
        <v>0</v>
      </c>
      <c r="R30" s="88">
        <f t="shared" si="3"/>
        <v>0</v>
      </c>
      <c r="S30" s="88">
        <f t="shared" si="4"/>
        <v>0</v>
      </c>
      <c r="T30" s="3"/>
      <c r="U30" s="3">
        <f t="shared" si="5"/>
        <v>0</v>
      </c>
      <c r="W30" s="46" t="s">
        <v>73</v>
      </c>
      <c r="X30" s="47">
        <v>0.5</v>
      </c>
    </row>
    <row r="31" spans="1:27" ht="15.75" thickBot="1" x14ac:dyDescent="0.3">
      <c r="A31" s="23">
        <v>26</v>
      </c>
      <c r="B31" s="3"/>
      <c r="C31" s="3"/>
      <c r="D31" s="3"/>
      <c r="E31" s="3"/>
      <c r="F31" s="22"/>
      <c r="G31" s="3"/>
      <c r="H31" s="3"/>
      <c r="I31" s="3"/>
      <c r="J31" s="3"/>
      <c r="K31" s="5"/>
      <c r="L31" s="3"/>
      <c r="M31" s="3"/>
      <c r="N31" s="3"/>
      <c r="O31" s="88">
        <f t="shared" si="0"/>
        <v>0</v>
      </c>
      <c r="P31" s="88">
        <f t="shared" si="1"/>
        <v>0</v>
      </c>
      <c r="Q31" s="88">
        <f t="shared" si="2"/>
        <v>0</v>
      </c>
      <c r="R31" s="88">
        <f t="shared" si="3"/>
        <v>0</v>
      </c>
      <c r="S31" s="88">
        <f t="shared" si="4"/>
        <v>0</v>
      </c>
      <c r="T31" s="3"/>
      <c r="U31" s="3">
        <f t="shared" si="5"/>
        <v>0</v>
      </c>
      <c r="W31" s="46" t="s">
        <v>46</v>
      </c>
      <c r="X31" s="48">
        <v>0.5</v>
      </c>
      <c r="Z31" s="122"/>
      <c r="AA31" s="123"/>
    </row>
    <row r="32" spans="1:27" ht="15.75" thickBot="1" x14ac:dyDescent="0.3">
      <c r="A32" s="23">
        <v>27</v>
      </c>
      <c r="B32" s="3"/>
      <c r="C32" s="3"/>
      <c r="D32" s="3"/>
      <c r="E32" s="3"/>
      <c r="F32" s="22"/>
      <c r="G32" s="3"/>
      <c r="H32" s="3"/>
      <c r="I32" s="3"/>
      <c r="J32" s="3"/>
      <c r="K32" s="5"/>
      <c r="L32" s="3"/>
      <c r="M32" s="3"/>
      <c r="N32" s="3"/>
      <c r="O32" s="88">
        <f t="shared" si="0"/>
        <v>0</v>
      </c>
      <c r="P32" s="88">
        <f t="shared" si="1"/>
        <v>0</v>
      </c>
      <c r="Q32" s="88">
        <f t="shared" si="2"/>
        <v>0</v>
      </c>
      <c r="R32" s="88">
        <f t="shared" si="3"/>
        <v>0</v>
      </c>
      <c r="S32" s="88">
        <f t="shared" si="4"/>
        <v>0</v>
      </c>
      <c r="T32" s="3"/>
      <c r="U32" s="3">
        <f t="shared" si="5"/>
        <v>0</v>
      </c>
      <c r="W32" s="1"/>
      <c r="X32" s="40"/>
      <c r="Y32" s="121" t="s">
        <v>71</v>
      </c>
      <c r="Z32" s="44"/>
      <c r="AA32" s="45"/>
    </row>
    <row r="33" spans="1:28" s="1" customFormat="1" ht="15.75" thickBot="1" x14ac:dyDescent="0.3">
      <c r="A33" s="23">
        <v>28</v>
      </c>
      <c r="B33" s="3"/>
      <c r="C33" s="3"/>
      <c r="D33" s="3"/>
      <c r="E33" s="3"/>
      <c r="F33" s="22"/>
      <c r="G33" s="3"/>
      <c r="H33" s="3"/>
      <c r="I33" s="3"/>
      <c r="J33" s="3"/>
      <c r="K33" s="5"/>
      <c r="L33" s="3"/>
      <c r="M33" s="3"/>
      <c r="N33" s="3"/>
      <c r="O33" s="88">
        <f t="shared" si="0"/>
        <v>0</v>
      </c>
      <c r="P33" s="88">
        <f t="shared" si="1"/>
        <v>0</v>
      </c>
      <c r="Q33" s="88">
        <f t="shared" si="2"/>
        <v>0</v>
      </c>
      <c r="R33" s="88">
        <f t="shared" si="3"/>
        <v>0</v>
      </c>
      <c r="S33" s="88">
        <f t="shared" si="4"/>
        <v>0</v>
      </c>
      <c r="T33" s="3"/>
      <c r="U33" s="3">
        <f t="shared" si="5"/>
        <v>0</v>
      </c>
      <c r="V33" s="6"/>
      <c r="X33" s="41"/>
      <c r="Y33" s="43" t="s">
        <v>72</v>
      </c>
      <c r="Z33" s="6"/>
      <c r="AA33" s="6"/>
      <c r="AB33" s="6"/>
    </row>
    <row r="34" spans="1:28" s="1" customFormat="1" x14ac:dyDescent="0.25">
      <c r="A34" s="23">
        <v>29</v>
      </c>
      <c r="B34" s="3"/>
      <c r="C34" s="3"/>
      <c r="D34" s="3"/>
      <c r="E34" s="3"/>
      <c r="F34" s="22"/>
      <c r="G34" s="3"/>
      <c r="H34" s="3"/>
      <c r="I34" s="3"/>
      <c r="J34" s="3"/>
      <c r="K34" s="5"/>
      <c r="L34" s="3"/>
      <c r="M34" s="3"/>
      <c r="N34" s="3"/>
      <c r="O34" s="88">
        <f t="shared" si="0"/>
        <v>0</v>
      </c>
      <c r="P34" s="88">
        <f t="shared" si="1"/>
        <v>0</v>
      </c>
      <c r="Q34" s="88">
        <f t="shared" si="2"/>
        <v>0</v>
      </c>
      <c r="R34" s="88">
        <f t="shared" si="3"/>
        <v>0</v>
      </c>
      <c r="S34" s="88">
        <f t="shared" si="4"/>
        <v>0</v>
      </c>
      <c r="T34" s="3"/>
      <c r="U34" s="3">
        <f t="shared" si="5"/>
        <v>0</v>
      </c>
      <c r="V34" s="6"/>
      <c r="W34" s="6"/>
      <c r="Y34" s="6"/>
      <c r="Z34" s="6"/>
      <c r="AA34" s="6"/>
      <c r="AB34" s="6"/>
    </row>
    <row r="35" spans="1:28" s="1" customFormat="1" x14ac:dyDescent="0.25">
      <c r="A35" s="20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Y35" s="6"/>
      <c r="Z35" s="6"/>
      <c r="AA35" s="6"/>
      <c r="AB35" s="6"/>
    </row>
    <row r="36" spans="1:28" s="1" customFormat="1" x14ac:dyDescent="0.25">
      <c r="A36" s="139" t="s">
        <v>47</v>
      </c>
      <c r="B36" s="139"/>
      <c r="C36" s="21">
        <f>SUM(C4:C34)</f>
        <v>0</v>
      </c>
      <c r="D36" s="21">
        <f t="shared" ref="D36:I36" si="6">SUM(D4:D34)</f>
        <v>0</v>
      </c>
      <c r="E36" s="21">
        <f t="shared" si="6"/>
        <v>0</v>
      </c>
      <c r="F36" s="21">
        <f t="shared" si="6"/>
        <v>0</v>
      </c>
      <c r="G36" s="21">
        <f t="shared" si="6"/>
        <v>0</v>
      </c>
      <c r="H36" s="21">
        <f t="shared" si="6"/>
        <v>0</v>
      </c>
      <c r="I36" s="21">
        <f t="shared" si="6"/>
        <v>0</v>
      </c>
      <c r="J36" s="18"/>
      <c r="K36" s="1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Y36" s="6"/>
      <c r="Z36" s="6"/>
      <c r="AA36" s="6"/>
      <c r="AB36" s="6"/>
    </row>
    <row r="37" spans="1:28" s="1" customFormat="1" x14ac:dyDescent="0.25">
      <c r="A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Y37" s="6"/>
      <c r="Z37" s="6"/>
      <c r="AA37" s="6"/>
      <c r="AB37" s="6"/>
    </row>
    <row r="38" spans="1:28" s="1" customFormat="1" x14ac:dyDescent="0.25">
      <c r="A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Y38" s="6"/>
      <c r="Z38" s="6"/>
      <c r="AA38" s="6"/>
      <c r="AB38" s="6"/>
    </row>
    <row r="39" spans="1:28" s="1" customFormat="1" x14ac:dyDescent="0.25">
      <c r="A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Y39" s="6"/>
      <c r="Z39" s="6"/>
      <c r="AA39" s="6"/>
      <c r="AB39" s="6"/>
    </row>
    <row r="464" spans="25:25" x14ac:dyDescent="0.25">
      <c r="Y464" s="1"/>
    </row>
  </sheetData>
  <mergeCells count="2">
    <mergeCell ref="A1:U2"/>
    <mergeCell ref="A36:B36"/>
  </mergeCells>
  <pageMargins left="0.7" right="0.7" top="0.75" bottom="0.75" header="0.3" footer="0.3"/>
  <pageSetup paperSize="25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E6EFD-75AB-44C5-AA3F-BC190FB3F5D1}">
  <dimension ref="A1:AB464"/>
  <sheetViews>
    <sheetView topLeftCell="I1" workbookViewId="0">
      <selection activeCell="X5" sqref="X5"/>
    </sheetView>
  </sheetViews>
  <sheetFormatPr defaultRowHeight="15" x14ac:dyDescent="0.25"/>
  <cols>
    <col min="1" max="1" width="4.28515625" style="6" bestFit="1" customWidth="1"/>
    <col min="2" max="2" width="15.28515625" style="1" bestFit="1" customWidth="1"/>
    <col min="3" max="3" width="15.85546875" style="6" bestFit="1" customWidth="1"/>
    <col min="4" max="4" width="16.85546875" style="6" bestFit="1" customWidth="1"/>
    <col min="5" max="9" width="16.85546875" style="6" customWidth="1"/>
    <col min="10" max="10" width="14.28515625" style="6" bestFit="1" customWidth="1"/>
    <col min="11" max="12" width="10.7109375" style="6" bestFit="1" customWidth="1"/>
    <col min="13" max="13" width="12.5703125" style="6" bestFit="1" customWidth="1"/>
    <col min="14" max="14" width="12.5703125" style="6" customWidth="1"/>
    <col min="15" max="15" width="9.5703125" style="6" bestFit="1" customWidth="1"/>
    <col min="16" max="16" width="11.28515625" style="6" bestFit="1" customWidth="1"/>
    <col min="17" max="17" width="15.140625" style="6" bestFit="1" customWidth="1"/>
    <col min="18" max="19" width="9.5703125" style="6" bestFit="1" customWidth="1"/>
    <col min="20" max="20" width="14.5703125" style="6" bestFit="1" customWidth="1"/>
    <col min="21" max="21" width="19" style="6" bestFit="1" customWidth="1"/>
    <col min="22" max="22" width="15.85546875" style="6" customWidth="1"/>
    <col min="23" max="23" width="28.85546875" style="6" bestFit="1" customWidth="1"/>
    <col min="24" max="24" width="11.7109375" style="1" bestFit="1" customWidth="1"/>
    <col min="25" max="25" width="10.7109375" style="6" bestFit="1" customWidth="1"/>
    <col min="26" max="26" width="15.28515625" style="6" bestFit="1" customWidth="1"/>
    <col min="27" max="27" width="21.7109375" style="6" bestFit="1" customWidth="1"/>
    <col min="28" max="28" width="15.85546875" style="6" customWidth="1"/>
    <col min="29" max="16384" width="9.140625" style="6"/>
  </cols>
  <sheetData>
    <row r="1" spans="1:28" ht="15.75" thickBot="1" x14ac:dyDescent="0.3">
      <c r="A1" s="138" t="s">
        <v>62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</row>
    <row r="2" spans="1:28" x14ac:dyDescent="0.25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W2" s="62"/>
      <c r="X2" s="63" t="s">
        <v>49</v>
      </c>
      <c r="Y2" s="64" t="s">
        <v>50</v>
      </c>
    </row>
    <row r="3" spans="1:28" x14ac:dyDescent="0.25">
      <c r="A3" s="9" t="s">
        <v>21</v>
      </c>
      <c r="B3" s="7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9" t="s">
        <v>31</v>
      </c>
      <c r="L3" s="8" t="s">
        <v>32</v>
      </c>
      <c r="M3" s="8" t="s">
        <v>33</v>
      </c>
      <c r="N3" s="8" t="s">
        <v>94</v>
      </c>
      <c r="O3" s="8" t="s">
        <v>34</v>
      </c>
      <c r="P3" s="8" t="s">
        <v>58</v>
      </c>
      <c r="Q3" s="8" t="s">
        <v>35</v>
      </c>
      <c r="R3" s="8" t="s">
        <v>36</v>
      </c>
      <c r="S3" s="8" t="s">
        <v>37</v>
      </c>
      <c r="T3" s="8" t="s">
        <v>38</v>
      </c>
      <c r="U3" s="9" t="s">
        <v>39</v>
      </c>
      <c r="W3" s="49" t="s">
        <v>17</v>
      </c>
      <c r="X3" s="51">
        <f>SUM(C35:I35)</f>
        <v>0</v>
      </c>
      <c r="Y3" s="51"/>
      <c r="AA3" s="60" t="s">
        <v>75</v>
      </c>
      <c r="AB3" s="60" t="s">
        <v>74</v>
      </c>
    </row>
    <row r="4" spans="1:28" x14ac:dyDescent="0.25">
      <c r="A4" s="23">
        <v>30</v>
      </c>
      <c r="B4" s="19"/>
      <c r="C4" s="4"/>
      <c r="D4" s="4"/>
      <c r="E4" s="4"/>
      <c r="F4" s="4"/>
      <c r="G4" s="4"/>
      <c r="H4" s="4"/>
      <c r="I4" s="4"/>
      <c r="J4" s="4"/>
      <c r="K4" s="10"/>
      <c r="L4" s="3"/>
      <c r="M4" s="3"/>
      <c r="N4" s="3"/>
      <c r="O4" s="88">
        <f>$X$18/30</f>
        <v>0</v>
      </c>
      <c r="P4" s="88">
        <f>$X$17/30</f>
        <v>0</v>
      </c>
      <c r="Q4" s="88">
        <f>$X$16/30</f>
        <v>0</v>
      </c>
      <c r="R4" s="88">
        <f>$X$19/30</f>
        <v>0</v>
      </c>
      <c r="S4" s="88">
        <f>$X$15/30</f>
        <v>0</v>
      </c>
      <c r="T4" s="3"/>
      <c r="U4" s="3">
        <f>C4+B4+K4+L4+M4+O4+P4+Q4+R4+S4+T4+D4+E4+F4+G4+I4+H4</f>
        <v>0</v>
      </c>
      <c r="W4" s="49" t="s">
        <v>40</v>
      </c>
      <c r="X4" s="53">
        <v>0.04</v>
      </c>
      <c r="Y4" s="53"/>
      <c r="AA4" s="58" t="str">
        <f>IFERROR(-(X3/(X6+X7)),"")</f>
        <v/>
      </c>
      <c r="AB4" s="59" t="str">
        <f>IF($AA$4 &gt; 12, "⭐ Excelente", IF($AA$4 &gt;= 6, "✅ Saudável", IF($AA$4 &lt; 5, "🛑 Perigo", "⚠️ Atenção")))</f>
        <v>⭐ Excelente</v>
      </c>
    </row>
    <row r="5" spans="1:28" x14ac:dyDescent="0.25">
      <c r="A5" s="23">
        <v>31</v>
      </c>
      <c r="B5" s="19"/>
      <c r="C5" s="3"/>
      <c r="D5" s="3"/>
      <c r="E5" s="3"/>
      <c r="F5" s="3"/>
      <c r="G5" s="3"/>
      <c r="H5" s="3"/>
      <c r="I5" s="3"/>
      <c r="J5" s="3"/>
      <c r="K5" s="5"/>
      <c r="L5" s="3"/>
      <c r="M5" s="3"/>
      <c r="N5" s="3"/>
      <c r="O5" s="88">
        <f t="shared" ref="O5:O34" si="0">$X$18/30</f>
        <v>0</v>
      </c>
      <c r="P5" s="88">
        <f t="shared" ref="P5:P34" si="1">$X$17/30</f>
        <v>0</v>
      </c>
      <c r="Q5" s="88">
        <f t="shared" ref="Q5:Q34" si="2">$X$16/30</f>
        <v>0</v>
      </c>
      <c r="R5" s="88">
        <f t="shared" ref="R5:R34" si="3">$X$19/30</f>
        <v>0</v>
      </c>
      <c r="S5" s="88">
        <f t="shared" ref="S5:S34" si="4">$X$15/30</f>
        <v>0</v>
      </c>
      <c r="T5" s="3"/>
      <c r="U5" s="3">
        <f t="shared" ref="U5:U34" si="5">C5+B5+K5+L5+M5+O5+P5+Q5+R5+S5+T5+D5+E5+F5+G5+I5+H5</f>
        <v>0</v>
      </c>
      <c r="W5" s="49" t="s">
        <v>51</v>
      </c>
      <c r="X5" s="51">
        <f>SUM(B4:B33)</f>
        <v>0</v>
      </c>
      <c r="Y5" s="52"/>
      <c r="Z5" s="1"/>
      <c r="AB5" s="1"/>
    </row>
    <row r="6" spans="1:28" x14ac:dyDescent="0.25">
      <c r="A6" s="23">
        <v>1</v>
      </c>
      <c r="B6" s="19"/>
      <c r="C6" s="3"/>
      <c r="D6" s="3"/>
      <c r="E6" s="3"/>
      <c r="F6" s="3"/>
      <c r="G6" s="3"/>
      <c r="H6" s="3"/>
      <c r="I6" s="3"/>
      <c r="J6" s="3"/>
      <c r="K6" s="5"/>
      <c r="L6" s="3"/>
      <c r="M6" s="3"/>
      <c r="N6" s="3"/>
      <c r="O6" s="88">
        <f t="shared" si="0"/>
        <v>0</v>
      </c>
      <c r="P6" s="88">
        <f t="shared" si="1"/>
        <v>0</v>
      </c>
      <c r="Q6" s="88">
        <f t="shared" si="2"/>
        <v>0</v>
      </c>
      <c r="R6" s="88">
        <f t="shared" si="3"/>
        <v>0</v>
      </c>
      <c r="S6" s="88">
        <f t="shared" si="4"/>
        <v>0</v>
      </c>
      <c r="T6" s="3"/>
      <c r="U6" s="3">
        <f t="shared" si="5"/>
        <v>0</v>
      </c>
      <c r="W6" s="49" t="s">
        <v>52</v>
      </c>
      <c r="X6" s="51">
        <f>SUM(K4:K33)</f>
        <v>0</v>
      </c>
      <c r="Y6" s="52"/>
      <c r="AA6" s="95" t="s">
        <v>86</v>
      </c>
      <c r="AB6" s="94" t="str">
        <f>IFERROR(ABS(SUM(X14:X19)) / ((X3 - ABS(SUM(X5:X12))) / X3), "")</f>
        <v/>
      </c>
    </row>
    <row r="7" spans="1:28" x14ac:dyDescent="0.25">
      <c r="A7" s="23">
        <v>2</v>
      </c>
      <c r="B7" s="3"/>
      <c r="C7" s="3"/>
      <c r="D7" s="3"/>
      <c r="E7" s="3"/>
      <c r="F7" s="3"/>
      <c r="G7" s="3"/>
      <c r="H7" s="3"/>
      <c r="I7" s="3"/>
      <c r="J7" s="3"/>
      <c r="K7" s="5"/>
      <c r="L7" s="3"/>
      <c r="M7" s="3"/>
      <c r="N7" s="3"/>
      <c r="O7" s="88">
        <f t="shared" si="0"/>
        <v>0</v>
      </c>
      <c r="P7" s="88">
        <f t="shared" si="1"/>
        <v>0</v>
      </c>
      <c r="Q7" s="88">
        <f t="shared" si="2"/>
        <v>0</v>
      </c>
      <c r="R7" s="88">
        <f t="shared" si="3"/>
        <v>0</v>
      </c>
      <c r="S7" s="88">
        <f t="shared" si="4"/>
        <v>0</v>
      </c>
      <c r="T7" s="3"/>
      <c r="U7" s="3">
        <f t="shared" si="5"/>
        <v>0</v>
      </c>
      <c r="W7" s="49" t="s">
        <v>53</v>
      </c>
      <c r="X7" s="55"/>
      <c r="Y7" s="55"/>
    </row>
    <row r="8" spans="1:28" x14ac:dyDescent="0.25">
      <c r="A8" s="23">
        <v>3</v>
      </c>
      <c r="B8" s="3"/>
      <c r="C8" s="3"/>
      <c r="D8" s="3"/>
      <c r="E8" s="3"/>
      <c r="F8" s="3"/>
      <c r="G8" s="3"/>
      <c r="H8" s="3"/>
      <c r="I8" s="3"/>
      <c r="J8" s="3"/>
      <c r="K8" s="5"/>
      <c r="L8" s="3"/>
      <c r="M8" s="3"/>
      <c r="N8" s="3"/>
      <c r="O8" s="88">
        <f t="shared" si="0"/>
        <v>0</v>
      </c>
      <c r="P8" s="88">
        <f t="shared" si="1"/>
        <v>0</v>
      </c>
      <c r="Q8" s="88">
        <f t="shared" si="2"/>
        <v>0</v>
      </c>
      <c r="R8" s="88">
        <f t="shared" si="3"/>
        <v>0</v>
      </c>
      <c r="S8" s="88">
        <f t="shared" si="4"/>
        <v>0</v>
      </c>
      <c r="T8" s="3"/>
      <c r="U8" s="3">
        <f t="shared" si="5"/>
        <v>0</v>
      </c>
      <c r="W8" s="49" t="s">
        <v>41</v>
      </c>
      <c r="X8" s="51">
        <f>(SUM(J4:J33))/31</f>
        <v>0</v>
      </c>
      <c r="Y8" s="51"/>
    </row>
    <row r="9" spans="1:28" x14ac:dyDescent="0.25">
      <c r="A9" s="23">
        <v>4</v>
      </c>
      <c r="B9" s="3"/>
      <c r="C9" s="3"/>
      <c r="D9" s="3"/>
      <c r="E9" s="3"/>
      <c r="F9" s="3"/>
      <c r="G9" s="3"/>
      <c r="H9" s="3"/>
      <c r="I9" s="3"/>
      <c r="J9" s="3"/>
      <c r="K9" s="5"/>
      <c r="L9" s="3"/>
      <c r="M9" s="3"/>
      <c r="N9" s="3"/>
      <c r="O9" s="88">
        <f t="shared" si="0"/>
        <v>0</v>
      </c>
      <c r="P9" s="88">
        <f t="shared" si="1"/>
        <v>0</v>
      </c>
      <c r="Q9" s="88">
        <f t="shared" si="2"/>
        <v>0</v>
      </c>
      <c r="R9" s="88">
        <f t="shared" si="3"/>
        <v>0</v>
      </c>
      <c r="S9" s="88">
        <f t="shared" si="4"/>
        <v>0</v>
      </c>
      <c r="T9" s="3"/>
      <c r="U9" s="3">
        <f t="shared" si="5"/>
        <v>0</v>
      </c>
      <c r="W9" s="49" t="s">
        <v>54</v>
      </c>
      <c r="X9" s="51">
        <f>SUM(L4:L33)</f>
        <v>0</v>
      </c>
      <c r="Y9" s="52"/>
    </row>
    <row r="10" spans="1:28" x14ac:dyDescent="0.25">
      <c r="A10" s="23">
        <v>5</v>
      </c>
      <c r="B10" s="3"/>
      <c r="C10" s="3"/>
      <c r="D10" s="3"/>
      <c r="E10" s="3"/>
      <c r="F10" s="3"/>
      <c r="G10" s="3"/>
      <c r="H10" s="3"/>
      <c r="I10" s="3"/>
      <c r="J10" s="3"/>
      <c r="K10" s="5"/>
      <c r="L10" s="3"/>
      <c r="M10" s="3"/>
      <c r="N10" s="3"/>
      <c r="O10" s="88">
        <f t="shared" si="0"/>
        <v>0</v>
      </c>
      <c r="P10" s="88">
        <f t="shared" si="1"/>
        <v>0</v>
      </c>
      <c r="Q10" s="88">
        <f t="shared" si="2"/>
        <v>0</v>
      </c>
      <c r="R10" s="88">
        <f t="shared" si="3"/>
        <v>0</v>
      </c>
      <c r="S10" s="88">
        <f t="shared" si="4"/>
        <v>0</v>
      </c>
      <c r="T10" s="3"/>
      <c r="U10" s="3">
        <f t="shared" si="5"/>
        <v>0</v>
      </c>
      <c r="W10" s="49" t="s">
        <v>55</v>
      </c>
      <c r="X10" s="51">
        <f>SUM(M4:M33)</f>
        <v>0</v>
      </c>
      <c r="Y10" s="52"/>
    </row>
    <row r="11" spans="1:28" x14ac:dyDescent="0.25">
      <c r="A11" s="23">
        <v>6</v>
      </c>
      <c r="B11" s="19"/>
      <c r="C11" s="3"/>
      <c r="D11" s="3"/>
      <c r="E11" s="3"/>
      <c r="F11" s="3"/>
      <c r="G11" s="3"/>
      <c r="H11" s="3"/>
      <c r="I11" s="3"/>
      <c r="J11" s="3"/>
      <c r="K11" s="5"/>
      <c r="L11" s="3"/>
      <c r="M11" s="3"/>
      <c r="N11" s="3"/>
      <c r="O11" s="88">
        <f t="shared" si="0"/>
        <v>0</v>
      </c>
      <c r="P11" s="88">
        <f t="shared" si="1"/>
        <v>0</v>
      </c>
      <c r="Q11" s="88">
        <f t="shared" si="2"/>
        <v>0</v>
      </c>
      <c r="R11" s="88">
        <f t="shared" si="3"/>
        <v>0</v>
      </c>
      <c r="S11" s="88">
        <f t="shared" si="4"/>
        <v>0</v>
      </c>
      <c r="T11" s="3"/>
      <c r="U11" s="3">
        <f t="shared" si="5"/>
        <v>0</v>
      </c>
      <c r="W11" s="49" t="s">
        <v>94</v>
      </c>
      <c r="X11" s="51">
        <f>SUM(N4:N34)</f>
        <v>0</v>
      </c>
      <c r="Y11" s="52"/>
    </row>
    <row r="12" spans="1:28" x14ac:dyDescent="0.25">
      <c r="A12" s="23">
        <v>7</v>
      </c>
      <c r="B12" s="3"/>
      <c r="C12" s="3"/>
      <c r="D12" s="3"/>
      <c r="E12" s="3"/>
      <c r="F12" s="3"/>
      <c r="G12" s="3"/>
      <c r="H12" s="3"/>
      <c r="I12" s="3"/>
      <c r="J12" s="3"/>
      <c r="K12" s="5"/>
      <c r="L12" s="3"/>
      <c r="M12" s="3"/>
      <c r="N12" s="3"/>
      <c r="O12" s="88">
        <f t="shared" si="0"/>
        <v>0</v>
      </c>
      <c r="P12" s="88">
        <f t="shared" si="1"/>
        <v>0</v>
      </c>
      <c r="Q12" s="88">
        <f t="shared" si="2"/>
        <v>0</v>
      </c>
      <c r="R12" s="88">
        <f t="shared" si="3"/>
        <v>0</v>
      </c>
      <c r="S12" s="88">
        <f t="shared" si="4"/>
        <v>0</v>
      </c>
      <c r="T12" s="3"/>
      <c r="U12" s="3">
        <f t="shared" si="5"/>
        <v>0</v>
      </c>
      <c r="W12" s="49" t="s">
        <v>56</v>
      </c>
      <c r="X12" s="51">
        <f>-X3*X4</f>
        <v>0</v>
      </c>
      <c r="Y12" s="52"/>
    </row>
    <row r="13" spans="1:28" x14ac:dyDescent="0.25">
      <c r="A13" s="23">
        <v>8</v>
      </c>
      <c r="B13" s="3"/>
      <c r="C13" s="3"/>
      <c r="D13" s="3"/>
      <c r="E13" s="3"/>
      <c r="F13" s="3"/>
      <c r="G13" s="3"/>
      <c r="H13" s="3"/>
      <c r="I13" s="3"/>
      <c r="J13" s="3"/>
      <c r="K13" s="5"/>
      <c r="L13" s="3"/>
      <c r="M13" s="3"/>
      <c r="N13" s="3"/>
      <c r="O13" s="88">
        <f t="shared" si="0"/>
        <v>0</v>
      </c>
      <c r="P13" s="88">
        <f t="shared" si="1"/>
        <v>0</v>
      </c>
      <c r="Q13" s="88">
        <f t="shared" si="2"/>
        <v>0</v>
      </c>
      <c r="R13" s="88">
        <f t="shared" si="3"/>
        <v>0</v>
      </c>
      <c r="S13" s="88">
        <f t="shared" si="4"/>
        <v>0</v>
      </c>
      <c r="T13" s="3"/>
      <c r="U13" s="3">
        <f t="shared" si="5"/>
        <v>0</v>
      </c>
      <c r="W13" s="49" t="s">
        <v>57</v>
      </c>
      <c r="X13" s="55"/>
      <c r="Y13" s="52"/>
    </row>
    <row r="14" spans="1:28" x14ac:dyDescent="0.25">
      <c r="A14" s="23">
        <v>9</v>
      </c>
      <c r="B14" s="3"/>
      <c r="C14" s="3"/>
      <c r="D14" s="3"/>
      <c r="E14" s="3"/>
      <c r="F14" s="3"/>
      <c r="G14" s="3"/>
      <c r="H14" s="3"/>
      <c r="I14" s="3"/>
      <c r="J14" s="3"/>
      <c r="K14" s="5"/>
      <c r="L14" s="3"/>
      <c r="M14" s="3"/>
      <c r="N14" s="3"/>
      <c r="O14" s="88">
        <f t="shared" si="0"/>
        <v>0</v>
      </c>
      <c r="P14" s="88">
        <f t="shared" si="1"/>
        <v>0</v>
      </c>
      <c r="Q14" s="88">
        <f t="shared" si="2"/>
        <v>0</v>
      </c>
      <c r="R14" s="88">
        <f t="shared" si="3"/>
        <v>0</v>
      </c>
      <c r="S14" s="88">
        <f t="shared" si="4"/>
        <v>0</v>
      </c>
      <c r="T14" s="3"/>
      <c r="U14" s="3">
        <f t="shared" si="5"/>
        <v>0</v>
      </c>
      <c r="W14" s="49" t="s">
        <v>38</v>
      </c>
      <c r="X14" s="51">
        <f>SUM(T4:T33)</f>
        <v>0</v>
      </c>
      <c r="Y14" s="52"/>
    </row>
    <row r="15" spans="1:28" x14ac:dyDescent="0.25">
      <c r="A15" s="23">
        <v>10</v>
      </c>
      <c r="B15" s="3"/>
      <c r="C15" s="3"/>
      <c r="D15" s="3"/>
      <c r="E15" s="3"/>
      <c r="F15" s="22"/>
      <c r="G15" s="3"/>
      <c r="H15" s="3"/>
      <c r="I15" s="3"/>
      <c r="J15" s="3"/>
      <c r="K15" s="5"/>
      <c r="L15" s="3"/>
      <c r="M15" s="3"/>
      <c r="N15" s="3"/>
      <c r="O15" s="88">
        <f t="shared" si="0"/>
        <v>0</v>
      </c>
      <c r="P15" s="88">
        <f t="shared" si="1"/>
        <v>0</v>
      </c>
      <c r="Q15" s="88">
        <f t="shared" si="2"/>
        <v>0</v>
      </c>
      <c r="R15" s="88">
        <f t="shared" si="3"/>
        <v>0</v>
      </c>
      <c r="S15" s="88">
        <f t="shared" si="4"/>
        <v>0</v>
      </c>
      <c r="T15" s="3"/>
      <c r="U15" s="3">
        <f t="shared" si="5"/>
        <v>0</v>
      </c>
      <c r="W15" s="49" t="s">
        <v>37</v>
      </c>
      <c r="X15" s="55"/>
      <c r="Y15" s="52"/>
    </row>
    <row r="16" spans="1:28" x14ac:dyDescent="0.25">
      <c r="A16" s="23">
        <v>11</v>
      </c>
      <c r="B16" s="3"/>
      <c r="C16" s="3"/>
      <c r="D16" s="3"/>
      <c r="E16" s="3"/>
      <c r="F16" s="3"/>
      <c r="G16" s="3"/>
      <c r="H16" s="3"/>
      <c r="I16" s="3"/>
      <c r="J16" s="3"/>
      <c r="K16" s="5"/>
      <c r="L16" s="3"/>
      <c r="M16" s="3"/>
      <c r="N16" s="3"/>
      <c r="O16" s="88">
        <f t="shared" si="0"/>
        <v>0</v>
      </c>
      <c r="P16" s="88">
        <f t="shared" si="1"/>
        <v>0</v>
      </c>
      <c r="Q16" s="88">
        <f t="shared" si="2"/>
        <v>0</v>
      </c>
      <c r="R16" s="88">
        <f t="shared" si="3"/>
        <v>0</v>
      </c>
      <c r="S16" s="88">
        <f t="shared" si="4"/>
        <v>0</v>
      </c>
      <c r="T16" s="3"/>
      <c r="U16" s="3">
        <f t="shared" si="5"/>
        <v>0</v>
      </c>
      <c r="W16" s="49" t="s">
        <v>35</v>
      </c>
      <c r="X16" s="55"/>
      <c r="Y16" s="52"/>
    </row>
    <row r="17" spans="1:27" x14ac:dyDescent="0.25">
      <c r="A17" s="23">
        <v>12</v>
      </c>
      <c r="B17" s="3"/>
      <c r="C17" s="3"/>
      <c r="D17" s="3"/>
      <c r="E17" s="3"/>
      <c r="F17" s="3"/>
      <c r="G17" s="3"/>
      <c r="H17" s="3"/>
      <c r="I17" s="3"/>
      <c r="J17" s="3"/>
      <c r="K17" s="5"/>
      <c r="L17" s="3"/>
      <c r="M17" s="3"/>
      <c r="N17" s="3"/>
      <c r="O17" s="88">
        <f t="shared" si="0"/>
        <v>0</v>
      </c>
      <c r="P17" s="88">
        <f t="shared" si="1"/>
        <v>0</v>
      </c>
      <c r="Q17" s="88">
        <f t="shared" si="2"/>
        <v>0</v>
      </c>
      <c r="R17" s="88">
        <f t="shared" si="3"/>
        <v>0</v>
      </c>
      <c r="S17" s="88">
        <f t="shared" si="4"/>
        <v>0</v>
      </c>
      <c r="T17" s="3"/>
      <c r="U17" s="3">
        <f t="shared" si="5"/>
        <v>0</v>
      </c>
      <c r="W17" s="49" t="s">
        <v>58</v>
      </c>
      <c r="X17" s="55">
        <v>0</v>
      </c>
      <c r="Y17" s="52"/>
    </row>
    <row r="18" spans="1:27" x14ac:dyDescent="0.25">
      <c r="A18" s="23">
        <v>13</v>
      </c>
      <c r="B18" s="3"/>
      <c r="C18" s="3"/>
      <c r="D18" s="3"/>
      <c r="E18" s="3"/>
      <c r="F18" s="3"/>
      <c r="G18" s="3"/>
      <c r="H18" s="3"/>
      <c r="I18" s="3"/>
      <c r="J18" s="3"/>
      <c r="K18" s="5"/>
      <c r="L18" s="3"/>
      <c r="M18" s="3"/>
      <c r="N18" s="3"/>
      <c r="O18" s="88">
        <f t="shared" si="0"/>
        <v>0</v>
      </c>
      <c r="P18" s="88">
        <f t="shared" si="1"/>
        <v>0</v>
      </c>
      <c r="Q18" s="88">
        <f t="shared" si="2"/>
        <v>0</v>
      </c>
      <c r="R18" s="88">
        <f t="shared" si="3"/>
        <v>0</v>
      </c>
      <c r="S18" s="88">
        <f t="shared" si="4"/>
        <v>0</v>
      </c>
      <c r="T18" s="3"/>
      <c r="U18" s="3">
        <f t="shared" si="5"/>
        <v>0</v>
      </c>
      <c r="W18" s="49" t="s">
        <v>90</v>
      </c>
      <c r="X18" s="55"/>
      <c r="Y18" s="52"/>
    </row>
    <row r="19" spans="1:27" x14ac:dyDescent="0.25">
      <c r="A19" s="23">
        <v>14</v>
      </c>
      <c r="B19" s="3"/>
      <c r="C19" s="3"/>
      <c r="D19" s="3"/>
      <c r="E19" s="3"/>
      <c r="F19" s="3"/>
      <c r="G19" s="3"/>
      <c r="H19" s="3"/>
      <c r="I19" s="3"/>
      <c r="J19" s="3"/>
      <c r="K19" s="5"/>
      <c r="L19" s="3"/>
      <c r="M19" s="3"/>
      <c r="N19" s="3"/>
      <c r="O19" s="88">
        <f t="shared" si="0"/>
        <v>0</v>
      </c>
      <c r="P19" s="88">
        <f t="shared" si="1"/>
        <v>0</v>
      </c>
      <c r="Q19" s="88">
        <f t="shared" si="2"/>
        <v>0</v>
      </c>
      <c r="R19" s="88">
        <f t="shared" si="3"/>
        <v>0</v>
      </c>
      <c r="S19" s="88">
        <f t="shared" si="4"/>
        <v>0</v>
      </c>
      <c r="T19" s="3"/>
      <c r="U19" s="3">
        <f t="shared" si="5"/>
        <v>0</v>
      </c>
      <c r="W19" s="49" t="s">
        <v>91</v>
      </c>
      <c r="X19" s="51">
        <f>(X18*20%)+(-X21*11%)</f>
        <v>0</v>
      </c>
      <c r="Y19" s="52"/>
    </row>
    <row r="20" spans="1:27" x14ac:dyDescent="0.25">
      <c r="A20" s="23">
        <v>15</v>
      </c>
      <c r="B20" s="3"/>
      <c r="C20" s="3"/>
      <c r="D20" s="3"/>
      <c r="E20" s="3"/>
      <c r="F20" s="3"/>
      <c r="G20" s="3"/>
      <c r="H20" s="3"/>
      <c r="I20" s="3"/>
      <c r="J20" s="3"/>
      <c r="K20" s="5"/>
      <c r="L20" s="3"/>
      <c r="M20" s="3"/>
      <c r="N20" s="3"/>
      <c r="O20" s="88">
        <f t="shared" si="0"/>
        <v>0</v>
      </c>
      <c r="P20" s="88">
        <f t="shared" si="1"/>
        <v>0</v>
      </c>
      <c r="Q20" s="88">
        <f t="shared" si="2"/>
        <v>0</v>
      </c>
      <c r="R20" s="88">
        <f t="shared" si="3"/>
        <v>0</v>
      </c>
      <c r="S20" s="88">
        <f t="shared" si="4"/>
        <v>0</v>
      </c>
      <c r="T20" s="3"/>
      <c r="U20" s="3">
        <f t="shared" si="5"/>
        <v>0</v>
      </c>
      <c r="W20" s="49" t="s">
        <v>42</v>
      </c>
      <c r="X20" s="55"/>
      <c r="Y20" s="52"/>
    </row>
    <row r="21" spans="1:27" ht="15.75" thickBot="1" x14ac:dyDescent="0.3">
      <c r="A21" s="23">
        <v>16</v>
      </c>
      <c r="B21" s="3"/>
      <c r="C21" s="3"/>
      <c r="D21" s="3"/>
      <c r="E21" s="3"/>
      <c r="F21" s="3"/>
      <c r="G21" s="3"/>
      <c r="H21" s="3"/>
      <c r="I21" s="3"/>
      <c r="J21" s="3"/>
      <c r="K21" s="5"/>
      <c r="L21" s="3"/>
      <c r="M21" s="3"/>
      <c r="N21" s="3"/>
      <c r="O21" s="88">
        <f t="shared" si="0"/>
        <v>0</v>
      </c>
      <c r="P21" s="88">
        <f t="shared" si="1"/>
        <v>0</v>
      </c>
      <c r="Q21" s="88">
        <f t="shared" si="2"/>
        <v>0</v>
      </c>
      <c r="R21" s="88">
        <f t="shared" si="3"/>
        <v>0</v>
      </c>
      <c r="S21" s="88">
        <f t="shared" si="4"/>
        <v>0</v>
      </c>
      <c r="T21" s="3"/>
      <c r="U21" s="3">
        <f t="shared" si="5"/>
        <v>0</v>
      </c>
      <c r="W21" s="50" t="s">
        <v>43</v>
      </c>
      <c r="X21" s="56">
        <f>X3+X5+X6+X9+X10+X12+X13+X15+X16+X17+X18+X20+X7</f>
        <v>0</v>
      </c>
      <c r="Y21" s="35">
        <f>Y3+Y5+Y6+Y7+Y9+Y10+Y12+Y13+Y15+Y16+Y17+Y18+Y20</f>
        <v>0</v>
      </c>
      <c r="Z21" s="1"/>
      <c r="AA21" s="1"/>
    </row>
    <row r="22" spans="1:27" ht="15.75" thickBot="1" x14ac:dyDescent="0.3">
      <c r="A22" s="23">
        <v>17</v>
      </c>
      <c r="B22" s="3"/>
      <c r="C22" s="3"/>
      <c r="D22" s="3"/>
      <c r="E22" s="3"/>
      <c r="F22" s="3"/>
      <c r="G22" s="3"/>
      <c r="H22" s="3"/>
      <c r="I22" s="3"/>
      <c r="J22" s="3"/>
      <c r="K22" s="5"/>
      <c r="L22" s="3"/>
      <c r="M22" s="3"/>
      <c r="N22" s="3"/>
      <c r="O22" s="88">
        <f t="shared" si="0"/>
        <v>0</v>
      </c>
      <c r="P22" s="88">
        <f t="shared" si="1"/>
        <v>0</v>
      </c>
      <c r="Q22" s="88">
        <f t="shared" si="2"/>
        <v>0</v>
      </c>
      <c r="R22" s="88">
        <f t="shared" si="3"/>
        <v>0</v>
      </c>
      <c r="S22" s="88">
        <f t="shared" si="4"/>
        <v>0</v>
      </c>
      <c r="T22" s="3"/>
      <c r="U22" s="3">
        <f t="shared" si="5"/>
        <v>0</v>
      </c>
      <c r="W22" s="50" t="s">
        <v>92</v>
      </c>
      <c r="X22" s="56">
        <f>X3+X5+X6+X7+X9+X10+X12+X13+X14+X15+X16+X17+X18+X19+X20</f>
        <v>0</v>
      </c>
      <c r="Y22" s="35">
        <f>Y3+Y5+Y6+Y7+Y9+Y10+Y12+Y13+Y15+Y16+Y17+Y18+Y19+Y20</f>
        <v>0</v>
      </c>
    </row>
    <row r="23" spans="1:27" x14ac:dyDescent="0.25">
      <c r="A23" s="23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88">
        <f t="shared" si="0"/>
        <v>0</v>
      </c>
      <c r="P23" s="88">
        <f t="shared" si="1"/>
        <v>0</v>
      </c>
      <c r="Q23" s="88">
        <f t="shared" si="2"/>
        <v>0</v>
      </c>
      <c r="R23" s="88">
        <f t="shared" si="3"/>
        <v>0</v>
      </c>
      <c r="S23" s="88">
        <f t="shared" si="4"/>
        <v>0</v>
      </c>
      <c r="T23" s="3"/>
      <c r="U23" s="3">
        <f t="shared" si="5"/>
        <v>0</v>
      </c>
    </row>
    <row r="24" spans="1:27" x14ac:dyDescent="0.25">
      <c r="A24" s="23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88">
        <f t="shared" si="0"/>
        <v>0</v>
      </c>
      <c r="P24" s="88">
        <f t="shared" si="1"/>
        <v>0</v>
      </c>
      <c r="Q24" s="88">
        <f t="shared" si="2"/>
        <v>0</v>
      </c>
      <c r="R24" s="88">
        <f t="shared" si="3"/>
        <v>0</v>
      </c>
      <c r="S24" s="88">
        <f t="shared" si="4"/>
        <v>0</v>
      </c>
      <c r="T24" s="3"/>
      <c r="U24" s="3">
        <f t="shared" si="5"/>
        <v>0</v>
      </c>
      <c r="W24" s="13" t="s">
        <v>44</v>
      </c>
      <c r="X24" s="36">
        <f>X6+X5+X14+X13</f>
        <v>0</v>
      </c>
      <c r="Y24" s="14"/>
    </row>
    <row r="25" spans="1:27" x14ac:dyDescent="0.25">
      <c r="A25" s="23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88">
        <f t="shared" si="0"/>
        <v>0</v>
      </c>
      <c r="P25" s="88">
        <f t="shared" si="1"/>
        <v>0</v>
      </c>
      <c r="Q25" s="88">
        <f t="shared" si="2"/>
        <v>0</v>
      </c>
      <c r="R25" s="88">
        <f t="shared" si="3"/>
        <v>0</v>
      </c>
      <c r="S25" s="88">
        <f t="shared" si="4"/>
        <v>0</v>
      </c>
      <c r="T25" s="3"/>
      <c r="U25" s="3">
        <f t="shared" si="5"/>
        <v>0</v>
      </c>
    </row>
    <row r="26" spans="1:27" x14ac:dyDescent="0.25">
      <c r="A26" s="23">
        <v>21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88">
        <f t="shared" si="0"/>
        <v>0</v>
      </c>
      <c r="P26" s="88">
        <f t="shared" si="1"/>
        <v>0</v>
      </c>
      <c r="Q26" s="88">
        <f t="shared" si="2"/>
        <v>0</v>
      </c>
      <c r="R26" s="88">
        <f t="shared" si="3"/>
        <v>0</v>
      </c>
      <c r="S26" s="88">
        <f t="shared" si="4"/>
        <v>0</v>
      </c>
      <c r="T26" s="3"/>
      <c r="U26" s="3">
        <f t="shared" si="5"/>
        <v>0</v>
      </c>
      <c r="W26" s="1"/>
    </row>
    <row r="27" spans="1:27" x14ac:dyDescent="0.25">
      <c r="A27" s="23">
        <v>22</v>
      </c>
      <c r="B27" s="3"/>
      <c r="C27" s="3"/>
      <c r="D27" s="3"/>
      <c r="E27" s="3"/>
      <c r="F27" s="22"/>
      <c r="G27" s="3"/>
      <c r="H27" s="3"/>
      <c r="I27" s="3"/>
      <c r="J27" s="3"/>
      <c r="K27" s="5"/>
      <c r="L27" s="3"/>
      <c r="M27" s="3"/>
      <c r="N27" s="3"/>
      <c r="O27" s="88">
        <f t="shared" si="0"/>
        <v>0</v>
      </c>
      <c r="P27" s="88">
        <f t="shared" si="1"/>
        <v>0</v>
      </c>
      <c r="Q27" s="88">
        <f t="shared" si="2"/>
        <v>0</v>
      </c>
      <c r="R27" s="88">
        <f t="shared" si="3"/>
        <v>0</v>
      </c>
      <c r="S27" s="88">
        <f t="shared" si="4"/>
        <v>0</v>
      </c>
      <c r="T27" s="3"/>
      <c r="U27" s="3">
        <f t="shared" si="5"/>
        <v>0</v>
      </c>
      <c r="W27" s="11" t="s">
        <v>45</v>
      </c>
      <c r="X27" s="42">
        <f>(X22*X30)</f>
        <v>0</v>
      </c>
      <c r="Y27" s="12">
        <f>Y22*50%</f>
        <v>0</v>
      </c>
    </row>
    <row r="28" spans="1:27" x14ac:dyDescent="0.25">
      <c r="A28" s="23">
        <v>23</v>
      </c>
      <c r="B28" s="3"/>
      <c r="C28" s="3"/>
      <c r="D28" s="3"/>
      <c r="E28" s="3"/>
      <c r="F28" s="22"/>
      <c r="G28" s="3"/>
      <c r="H28" s="3"/>
      <c r="I28" s="3"/>
      <c r="J28" s="3"/>
      <c r="K28" s="5"/>
      <c r="L28" s="3"/>
      <c r="M28" s="3"/>
      <c r="N28" s="3"/>
      <c r="O28" s="88">
        <f t="shared" si="0"/>
        <v>0</v>
      </c>
      <c r="P28" s="88">
        <f t="shared" si="1"/>
        <v>0</v>
      </c>
      <c r="Q28" s="88">
        <f t="shared" si="2"/>
        <v>0</v>
      </c>
      <c r="R28" s="88">
        <f t="shared" si="3"/>
        <v>0</v>
      </c>
      <c r="S28" s="88">
        <f t="shared" si="4"/>
        <v>0</v>
      </c>
      <c r="T28" s="3"/>
      <c r="U28" s="3">
        <f t="shared" si="5"/>
        <v>0</v>
      </c>
      <c r="W28" s="11" t="s">
        <v>46</v>
      </c>
      <c r="X28" s="42">
        <f>X22*X31</f>
        <v>0</v>
      </c>
      <c r="Y28" s="12">
        <f>Y22*X31</f>
        <v>0</v>
      </c>
    </row>
    <row r="29" spans="1:27" ht="15.75" thickBot="1" x14ac:dyDescent="0.3">
      <c r="A29" s="23">
        <v>24</v>
      </c>
      <c r="B29" s="3"/>
      <c r="C29" s="3"/>
      <c r="D29" s="3"/>
      <c r="E29" s="3"/>
      <c r="F29" s="22"/>
      <c r="G29" s="3"/>
      <c r="H29" s="3"/>
      <c r="I29" s="3"/>
      <c r="J29" s="3"/>
      <c r="K29" s="5"/>
      <c r="L29" s="3"/>
      <c r="M29" s="3"/>
      <c r="N29" s="3"/>
      <c r="O29" s="88">
        <f t="shared" si="0"/>
        <v>0</v>
      </c>
      <c r="P29" s="88">
        <f t="shared" si="1"/>
        <v>0</v>
      </c>
      <c r="Q29" s="88">
        <f t="shared" si="2"/>
        <v>0</v>
      </c>
      <c r="R29" s="88">
        <f t="shared" si="3"/>
        <v>0</v>
      </c>
      <c r="S29" s="88">
        <f t="shared" si="4"/>
        <v>0</v>
      </c>
      <c r="T29" s="3"/>
      <c r="U29" s="3">
        <f t="shared" si="5"/>
        <v>0</v>
      </c>
      <c r="Y29" s="1"/>
    </row>
    <row r="30" spans="1:27" ht="15.75" thickBot="1" x14ac:dyDescent="0.3">
      <c r="A30" s="23">
        <v>25</v>
      </c>
      <c r="B30" s="3"/>
      <c r="C30" s="3"/>
      <c r="D30" s="3"/>
      <c r="E30" s="3"/>
      <c r="F30" s="22"/>
      <c r="G30" s="3"/>
      <c r="H30" s="3"/>
      <c r="I30" s="3"/>
      <c r="J30" s="3"/>
      <c r="K30" s="5"/>
      <c r="L30" s="5"/>
      <c r="M30" s="3"/>
      <c r="N30" s="3"/>
      <c r="O30" s="88">
        <f t="shared" si="0"/>
        <v>0</v>
      </c>
      <c r="P30" s="88">
        <f t="shared" si="1"/>
        <v>0</v>
      </c>
      <c r="Q30" s="88">
        <f t="shared" si="2"/>
        <v>0</v>
      </c>
      <c r="R30" s="88">
        <f t="shared" si="3"/>
        <v>0</v>
      </c>
      <c r="S30" s="88">
        <f t="shared" si="4"/>
        <v>0</v>
      </c>
      <c r="T30" s="3"/>
      <c r="U30" s="3">
        <f t="shared" si="5"/>
        <v>0</v>
      </c>
      <c r="W30" s="46" t="s">
        <v>73</v>
      </c>
      <c r="X30" s="47">
        <v>0.5</v>
      </c>
    </row>
    <row r="31" spans="1:27" ht="15.75" thickBot="1" x14ac:dyDescent="0.3">
      <c r="A31" s="23">
        <v>26</v>
      </c>
      <c r="B31" s="3"/>
      <c r="C31" s="3"/>
      <c r="D31" s="3"/>
      <c r="E31" s="3"/>
      <c r="F31" s="22"/>
      <c r="G31" s="3"/>
      <c r="H31" s="3"/>
      <c r="I31" s="3"/>
      <c r="J31" s="3"/>
      <c r="K31" s="5"/>
      <c r="L31" s="3"/>
      <c r="M31" s="3"/>
      <c r="N31" s="3"/>
      <c r="O31" s="88">
        <f t="shared" si="0"/>
        <v>0</v>
      </c>
      <c r="P31" s="88">
        <f t="shared" si="1"/>
        <v>0</v>
      </c>
      <c r="Q31" s="88">
        <f t="shared" si="2"/>
        <v>0</v>
      </c>
      <c r="R31" s="88">
        <f t="shared" si="3"/>
        <v>0</v>
      </c>
      <c r="S31" s="88">
        <f t="shared" si="4"/>
        <v>0</v>
      </c>
      <c r="T31" s="3"/>
      <c r="U31" s="3">
        <f t="shared" si="5"/>
        <v>0</v>
      </c>
      <c r="W31" s="46" t="s">
        <v>46</v>
      </c>
      <c r="X31" s="48">
        <v>0.5</v>
      </c>
      <c r="Z31" s="118"/>
      <c r="AA31" s="119"/>
    </row>
    <row r="32" spans="1:27" ht="15.75" thickBot="1" x14ac:dyDescent="0.3">
      <c r="A32" s="23">
        <v>27</v>
      </c>
      <c r="B32" s="3"/>
      <c r="C32" s="3"/>
      <c r="D32" s="3"/>
      <c r="E32" s="3"/>
      <c r="F32" s="22"/>
      <c r="G32" s="3"/>
      <c r="H32" s="3"/>
      <c r="I32" s="3"/>
      <c r="J32" s="3"/>
      <c r="K32" s="5"/>
      <c r="L32" s="3"/>
      <c r="M32" s="3"/>
      <c r="N32" s="3"/>
      <c r="O32" s="88">
        <f t="shared" si="0"/>
        <v>0</v>
      </c>
      <c r="P32" s="88">
        <f t="shared" si="1"/>
        <v>0</v>
      </c>
      <c r="Q32" s="88">
        <f t="shared" si="2"/>
        <v>0</v>
      </c>
      <c r="R32" s="88">
        <f t="shared" si="3"/>
        <v>0</v>
      </c>
      <c r="S32" s="88">
        <f t="shared" si="4"/>
        <v>0</v>
      </c>
      <c r="T32" s="3"/>
      <c r="U32" s="3">
        <f t="shared" si="5"/>
        <v>0</v>
      </c>
      <c r="W32" s="1"/>
      <c r="X32" s="40"/>
      <c r="Y32" s="117" t="s">
        <v>71</v>
      </c>
      <c r="Z32" s="44"/>
      <c r="AA32" s="45"/>
    </row>
    <row r="33" spans="1:28" s="1" customFormat="1" ht="15.75" thickBot="1" x14ac:dyDescent="0.3">
      <c r="A33" s="23">
        <v>28</v>
      </c>
      <c r="B33" s="3"/>
      <c r="C33" s="3"/>
      <c r="D33" s="3"/>
      <c r="E33" s="3"/>
      <c r="F33" s="22"/>
      <c r="G33" s="3"/>
      <c r="H33" s="3"/>
      <c r="I33" s="3"/>
      <c r="J33" s="3"/>
      <c r="K33" s="5"/>
      <c r="L33" s="3"/>
      <c r="M33" s="3"/>
      <c r="N33" s="3"/>
      <c r="O33" s="88">
        <f t="shared" si="0"/>
        <v>0</v>
      </c>
      <c r="P33" s="88">
        <f t="shared" si="1"/>
        <v>0</v>
      </c>
      <c r="Q33" s="88">
        <f t="shared" si="2"/>
        <v>0</v>
      </c>
      <c r="R33" s="88">
        <f t="shared" si="3"/>
        <v>0</v>
      </c>
      <c r="S33" s="88">
        <f t="shared" si="4"/>
        <v>0</v>
      </c>
      <c r="T33" s="3"/>
      <c r="U33" s="3">
        <f t="shared" si="5"/>
        <v>0</v>
      </c>
      <c r="V33" s="6"/>
      <c r="X33" s="41"/>
      <c r="Y33" s="43" t="s">
        <v>72</v>
      </c>
      <c r="Z33" s="6"/>
      <c r="AA33" s="6"/>
      <c r="AB33" s="6"/>
    </row>
    <row r="34" spans="1:28" s="1" customFormat="1" x14ac:dyDescent="0.25">
      <c r="A34" s="23">
        <v>29</v>
      </c>
      <c r="B34" s="3"/>
      <c r="C34" s="3"/>
      <c r="D34" s="3"/>
      <c r="E34" s="3"/>
      <c r="F34" s="22"/>
      <c r="G34" s="3"/>
      <c r="H34" s="3"/>
      <c r="I34" s="3"/>
      <c r="J34" s="3"/>
      <c r="K34" s="5"/>
      <c r="L34" s="3"/>
      <c r="M34" s="3"/>
      <c r="N34" s="3"/>
      <c r="O34" s="88">
        <f t="shared" si="0"/>
        <v>0</v>
      </c>
      <c r="P34" s="88">
        <f t="shared" si="1"/>
        <v>0</v>
      </c>
      <c r="Q34" s="88">
        <f t="shared" si="2"/>
        <v>0</v>
      </c>
      <c r="R34" s="88">
        <f t="shared" si="3"/>
        <v>0</v>
      </c>
      <c r="S34" s="88">
        <f t="shared" si="4"/>
        <v>0</v>
      </c>
      <c r="T34" s="3"/>
      <c r="U34" s="3">
        <f t="shared" si="5"/>
        <v>0</v>
      </c>
      <c r="V34" s="6"/>
      <c r="W34" s="6"/>
      <c r="Y34" s="6"/>
      <c r="Z34" s="6"/>
      <c r="AA34" s="6"/>
      <c r="AB34" s="6"/>
    </row>
    <row r="35" spans="1:28" s="1" customFormat="1" x14ac:dyDescent="0.25">
      <c r="A35" s="20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Y35" s="6"/>
      <c r="Z35" s="6"/>
      <c r="AA35" s="6"/>
      <c r="AB35" s="6"/>
    </row>
    <row r="36" spans="1:28" s="1" customFormat="1" x14ac:dyDescent="0.25">
      <c r="A36" s="139" t="s">
        <v>47</v>
      </c>
      <c r="B36" s="139"/>
      <c r="C36" s="21">
        <f>SUM(C4:C34)</f>
        <v>0</v>
      </c>
      <c r="D36" s="21">
        <f t="shared" ref="D36:I36" si="6">SUM(D4:D34)</f>
        <v>0</v>
      </c>
      <c r="E36" s="21">
        <f t="shared" si="6"/>
        <v>0</v>
      </c>
      <c r="F36" s="21">
        <f t="shared" si="6"/>
        <v>0</v>
      </c>
      <c r="G36" s="21">
        <f t="shared" si="6"/>
        <v>0</v>
      </c>
      <c r="H36" s="21">
        <f t="shared" si="6"/>
        <v>0</v>
      </c>
      <c r="I36" s="21">
        <f t="shared" si="6"/>
        <v>0</v>
      </c>
      <c r="J36" s="18"/>
      <c r="K36" s="1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Y36" s="6"/>
      <c r="Z36" s="6"/>
      <c r="AA36" s="6"/>
      <c r="AB36" s="6"/>
    </row>
    <row r="37" spans="1:28" s="1" customFormat="1" x14ac:dyDescent="0.25">
      <c r="A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Y37" s="6"/>
      <c r="Z37" s="6"/>
      <c r="AA37" s="6"/>
      <c r="AB37" s="6"/>
    </row>
    <row r="38" spans="1:28" s="1" customFormat="1" x14ac:dyDescent="0.25">
      <c r="A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Y38" s="6"/>
      <c r="Z38" s="6"/>
      <c r="AA38" s="6"/>
      <c r="AB38" s="6"/>
    </row>
    <row r="39" spans="1:28" s="1" customFormat="1" x14ac:dyDescent="0.25">
      <c r="A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Y39" s="6"/>
      <c r="Z39" s="6"/>
      <c r="AA39" s="6"/>
      <c r="AB39" s="6"/>
    </row>
    <row r="464" spans="25:25" x14ac:dyDescent="0.25">
      <c r="Y464" s="1"/>
    </row>
  </sheetData>
  <mergeCells count="2">
    <mergeCell ref="A1:U2"/>
    <mergeCell ref="A36:B36"/>
  </mergeCells>
  <pageMargins left="0.7" right="0.7" top="0.75" bottom="0.75" header="0.3" footer="0.3"/>
  <pageSetup paperSize="25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894B-26E0-4216-93EB-A1DBCF2F1C53}">
  <dimension ref="A1:AB464"/>
  <sheetViews>
    <sheetView topLeftCell="J1" workbookViewId="0">
      <selection activeCell="X5" sqref="X5"/>
    </sheetView>
  </sheetViews>
  <sheetFormatPr defaultRowHeight="15" x14ac:dyDescent="0.25"/>
  <cols>
    <col min="1" max="1" width="4.28515625" style="6" bestFit="1" customWidth="1"/>
    <col min="2" max="2" width="15.28515625" style="1" bestFit="1" customWidth="1"/>
    <col min="3" max="3" width="15.85546875" style="6" bestFit="1" customWidth="1"/>
    <col min="4" max="4" width="16.85546875" style="6" bestFit="1" customWidth="1"/>
    <col min="5" max="9" width="16.85546875" style="6" customWidth="1"/>
    <col min="10" max="10" width="14.28515625" style="6" bestFit="1" customWidth="1"/>
    <col min="11" max="12" width="10.7109375" style="6" bestFit="1" customWidth="1"/>
    <col min="13" max="13" width="12.5703125" style="6" bestFit="1" customWidth="1"/>
    <col min="14" max="14" width="12.5703125" style="6" customWidth="1"/>
    <col min="15" max="15" width="9.5703125" style="6" bestFit="1" customWidth="1"/>
    <col min="16" max="16" width="11.28515625" style="6" bestFit="1" customWidth="1"/>
    <col min="17" max="17" width="15.140625" style="6" bestFit="1" customWidth="1"/>
    <col min="18" max="19" width="9.5703125" style="6" bestFit="1" customWidth="1"/>
    <col min="20" max="20" width="14.5703125" style="6" bestFit="1" customWidth="1"/>
    <col min="21" max="21" width="19" style="6" bestFit="1" customWidth="1"/>
    <col min="22" max="22" width="15.85546875" style="6" customWidth="1"/>
    <col min="23" max="23" width="28.85546875" style="6" bestFit="1" customWidth="1"/>
    <col min="24" max="24" width="11.7109375" style="1" bestFit="1" customWidth="1"/>
    <col min="25" max="25" width="10.7109375" style="6" bestFit="1" customWidth="1"/>
    <col min="26" max="26" width="15.28515625" style="6" bestFit="1" customWidth="1"/>
    <col min="27" max="27" width="21.7109375" style="6" bestFit="1" customWidth="1"/>
    <col min="28" max="28" width="15.85546875" style="6" customWidth="1"/>
    <col min="29" max="16384" width="9.140625" style="6"/>
  </cols>
  <sheetData>
    <row r="1" spans="1:28" ht="15.75" thickBot="1" x14ac:dyDescent="0.3">
      <c r="A1" s="138" t="s">
        <v>63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</row>
    <row r="2" spans="1:28" x14ac:dyDescent="0.25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W2" s="62"/>
      <c r="X2" s="63" t="s">
        <v>49</v>
      </c>
      <c r="Y2" s="64" t="s">
        <v>50</v>
      </c>
    </row>
    <row r="3" spans="1:28" x14ac:dyDescent="0.25">
      <c r="A3" s="9" t="s">
        <v>21</v>
      </c>
      <c r="B3" s="7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9" t="s">
        <v>31</v>
      </c>
      <c r="L3" s="8" t="s">
        <v>32</v>
      </c>
      <c r="M3" s="8" t="s">
        <v>33</v>
      </c>
      <c r="N3" s="8" t="s">
        <v>94</v>
      </c>
      <c r="O3" s="8" t="s">
        <v>34</v>
      </c>
      <c r="P3" s="8" t="s">
        <v>58</v>
      </c>
      <c r="Q3" s="8" t="s">
        <v>35</v>
      </c>
      <c r="R3" s="8" t="s">
        <v>36</v>
      </c>
      <c r="S3" s="8" t="s">
        <v>37</v>
      </c>
      <c r="T3" s="8" t="s">
        <v>38</v>
      </c>
      <c r="U3" s="9" t="s">
        <v>39</v>
      </c>
      <c r="W3" s="49" t="s">
        <v>17</v>
      </c>
      <c r="X3" s="51">
        <f>SUM(C35:I35)</f>
        <v>0</v>
      </c>
      <c r="Y3" s="51"/>
      <c r="AA3" s="60" t="s">
        <v>75</v>
      </c>
      <c r="AB3" s="60" t="s">
        <v>74</v>
      </c>
    </row>
    <row r="4" spans="1:28" x14ac:dyDescent="0.25">
      <c r="A4" s="23">
        <v>30</v>
      </c>
      <c r="B4" s="19"/>
      <c r="C4" s="4"/>
      <c r="D4" s="4"/>
      <c r="E4" s="4"/>
      <c r="F4" s="4"/>
      <c r="G4" s="4"/>
      <c r="H4" s="4"/>
      <c r="I4" s="4"/>
      <c r="J4" s="4"/>
      <c r="K4" s="10"/>
      <c r="L4" s="3"/>
      <c r="M4" s="3"/>
      <c r="N4" s="3"/>
      <c r="O4" s="88">
        <f>$X$18/30</f>
        <v>0</v>
      </c>
      <c r="P4" s="88">
        <f>$X$17/30</f>
        <v>0</v>
      </c>
      <c r="Q4" s="88">
        <f>$X$16/30</f>
        <v>0</v>
      </c>
      <c r="R4" s="88">
        <f>$X$19/30</f>
        <v>0</v>
      </c>
      <c r="S4" s="88">
        <f>$X$15/30</f>
        <v>0</v>
      </c>
      <c r="T4" s="3"/>
      <c r="U4" s="3">
        <f>C4+B4+K4+L4+M4+O4+P4+Q4+R4+S4+T4+D4+E4+F4+G4+I4+H4</f>
        <v>0</v>
      </c>
      <c r="W4" s="49" t="s">
        <v>40</v>
      </c>
      <c r="X4" s="53">
        <v>0.04</v>
      </c>
      <c r="Y4" s="53"/>
      <c r="AA4" s="58" t="str">
        <f>IFERROR(-(X3/(X6+X7)),"")</f>
        <v/>
      </c>
      <c r="AB4" s="59" t="str">
        <f>IF($AA$4 &gt; 12, "⭐ Excelente", IF($AA$4 &gt;= 6, "✅ Saudável", IF($AA$4 &lt; 5, "🛑 Perigo", "⚠️ Atenção")))</f>
        <v>⭐ Excelente</v>
      </c>
    </row>
    <row r="5" spans="1:28" x14ac:dyDescent="0.25">
      <c r="A5" s="23">
        <v>31</v>
      </c>
      <c r="B5" s="19"/>
      <c r="C5" s="3"/>
      <c r="D5" s="3"/>
      <c r="E5" s="3"/>
      <c r="F5" s="3"/>
      <c r="G5" s="3"/>
      <c r="H5" s="3"/>
      <c r="I5" s="3"/>
      <c r="J5" s="3"/>
      <c r="K5" s="5"/>
      <c r="L5" s="3"/>
      <c r="M5" s="3"/>
      <c r="N5" s="3"/>
      <c r="O5" s="88">
        <f t="shared" ref="O5:O34" si="0">$X$18/30</f>
        <v>0</v>
      </c>
      <c r="P5" s="88">
        <f t="shared" ref="P5:P34" si="1">$X$17/30</f>
        <v>0</v>
      </c>
      <c r="Q5" s="88">
        <f t="shared" ref="Q5:Q34" si="2">$X$16/30</f>
        <v>0</v>
      </c>
      <c r="R5" s="88">
        <f t="shared" ref="R5:R34" si="3">$X$19/30</f>
        <v>0</v>
      </c>
      <c r="S5" s="88">
        <f t="shared" ref="S5:S34" si="4">$X$15/30</f>
        <v>0</v>
      </c>
      <c r="T5" s="3"/>
      <c r="U5" s="3">
        <f t="shared" ref="U5:U34" si="5">C5+B5+K5+L5+M5+O5+P5+Q5+R5+S5+T5+D5+E5+F5+G5+I5+H5</f>
        <v>0</v>
      </c>
      <c r="W5" s="49" t="s">
        <v>51</v>
      </c>
      <c r="X5" s="51">
        <f>SUM(B4:B33)</f>
        <v>0</v>
      </c>
      <c r="Y5" s="52"/>
      <c r="Z5" s="1"/>
      <c r="AB5" s="1"/>
    </row>
    <row r="6" spans="1:28" x14ac:dyDescent="0.25">
      <c r="A6" s="23">
        <v>1</v>
      </c>
      <c r="B6" s="19"/>
      <c r="C6" s="3"/>
      <c r="D6" s="3"/>
      <c r="E6" s="3"/>
      <c r="F6" s="3"/>
      <c r="G6" s="3"/>
      <c r="H6" s="3"/>
      <c r="I6" s="3"/>
      <c r="J6" s="3"/>
      <c r="K6" s="5"/>
      <c r="L6" s="3"/>
      <c r="M6" s="3"/>
      <c r="N6" s="3"/>
      <c r="O6" s="88">
        <f t="shared" si="0"/>
        <v>0</v>
      </c>
      <c r="P6" s="88">
        <f t="shared" si="1"/>
        <v>0</v>
      </c>
      <c r="Q6" s="88">
        <f t="shared" si="2"/>
        <v>0</v>
      </c>
      <c r="R6" s="88">
        <f t="shared" si="3"/>
        <v>0</v>
      </c>
      <c r="S6" s="88">
        <f t="shared" si="4"/>
        <v>0</v>
      </c>
      <c r="T6" s="3"/>
      <c r="U6" s="3">
        <f t="shared" si="5"/>
        <v>0</v>
      </c>
      <c r="W6" s="49" t="s">
        <v>52</v>
      </c>
      <c r="X6" s="51">
        <f>SUM(K4:K33)</f>
        <v>0</v>
      </c>
      <c r="Y6" s="52"/>
      <c r="AA6" s="95" t="s">
        <v>86</v>
      </c>
      <c r="AB6" s="94" t="str">
        <f>IFERROR(ABS(SUM(X14:X19)) / ((X3 - ABS(SUM(X5:X12))) / X3), "")</f>
        <v/>
      </c>
    </row>
    <row r="7" spans="1:28" x14ac:dyDescent="0.25">
      <c r="A7" s="23">
        <v>2</v>
      </c>
      <c r="B7" s="3"/>
      <c r="C7" s="3"/>
      <c r="D7" s="3"/>
      <c r="E7" s="3"/>
      <c r="F7" s="3"/>
      <c r="G7" s="3"/>
      <c r="H7" s="3"/>
      <c r="I7" s="3"/>
      <c r="J7" s="3"/>
      <c r="K7" s="5"/>
      <c r="L7" s="3"/>
      <c r="M7" s="3"/>
      <c r="N7" s="3"/>
      <c r="O7" s="88">
        <f t="shared" si="0"/>
        <v>0</v>
      </c>
      <c r="P7" s="88">
        <f t="shared" si="1"/>
        <v>0</v>
      </c>
      <c r="Q7" s="88">
        <f t="shared" si="2"/>
        <v>0</v>
      </c>
      <c r="R7" s="88">
        <f t="shared" si="3"/>
        <v>0</v>
      </c>
      <c r="S7" s="88">
        <f t="shared" si="4"/>
        <v>0</v>
      </c>
      <c r="T7" s="3"/>
      <c r="U7" s="3">
        <f t="shared" si="5"/>
        <v>0</v>
      </c>
      <c r="W7" s="49" t="s">
        <v>53</v>
      </c>
      <c r="X7" s="55"/>
      <c r="Y7" s="55"/>
    </row>
    <row r="8" spans="1:28" x14ac:dyDescent="0.25">
      <c r="A8" s="23">
        <v>3</v>
      </c>
      <c r="B8" s="3"/>
      <c r="C8" s="3"/>
      <c r="D8" s="3"/>
      <c r="E8" s="3"/>
      <c r="F8" s="3"/>
      <c r="G8" s="3"/>
      <c r="H8" s="3"/>
      <c r="I8" s="3"/>
      <c r="J8" s="3"/>
      <c r="K8" s="5"/>
      <c r="L8" s="3"/>
      <c r="M8" s="3"/>
      <c r="N8" s="3"/>
      <c r="O8" s="88">
        <f t="shared" si="0"/>
        <v>0</v>
      </c>
      <c r="P8" s="88">
        <f t="shared" si="1"/>
        <v>0</v>
      </c>
      <c r="Q8" s="88">
        <f t="shared" si="2"/>
        <v>0</v>
      </c>
      <c r="R8" s="88">
        <f t="shared" si="3"/>
        <v>0</v>
      </c>
      <c r="S8" s="88">
        <f t="shared" si="4"/>
        <v>0</v>
      </c>
      <c r="T8" s="3"/>
      <c r="U8" s="3">
        <f t="shared" si="5"/>
        <v>0</v>
      </c>
      <c r="W8" s="49" t="s">
        <v>41</v>
      </c>
      <c r="X8" s="51">
        <f>(SUM(J4:J33))/31</f>
        <v>0</v>
      </c>
      <c r="Y8" s="51"/>
    </row>
    <row r="9" spans="1:28" x14ac:dyDescent="0.25">
      <c r="A9" s="23">
        <v>4</v>
      </c>
      <c r="B9" s="3"/>
      <c r="C9" s="3"/>
      <c r="D9" s="3"/>
      <c r="E9" s="3"/>
      <c r="F9" s="3"/>
      <c r="G9" s="3"/>
      <c r="H9" s="3"/>
      <c r="I9" s="3"/>
      <c r="J9" s="3"/>
      <c r="K9" s="5"/>
      <c r="L9" s="3"/>
      <c r="M9" s="3"/>
      <c r="N9" s="3"/>
      <c r="O9" s="88">
        <f t="shared" si="0"/>
        <v>0</v>
      </c>
      <c r="P9" s="88">
        <f t="shared" si="1"/>
        <v>0</v>
      </c>
      <c r="Q9" s="88">
        <f t="shared" si="2"/>
        <v>0</v>
      </c>
      <c r="R9" s="88">
        <f t="shared" si="3"/>
        <v>0</v>
      </c>
      <c r="S9" s="88">
        <f t="shared" si="4"/>
        <v>0</v>
      </c>
      <c r="T9" s="3"/>
      <c r="U9" s="3">
        <f t="shared" si="5"/>
        <v>0</v>
      </c>
      <c r="W9" s="49" t="s">
        <v>54</v>
      </c>
      <c r="X9" s="51">
        <f>SUM(L4:L33)</f>
        <v>0</v>
      </c>
      <c r="Y9" s="52"/>
    </row>
    <row r="10" spans="1:28" x14ac:dyDescent="0.25">
      <c r="A10" s="23">
        <v>5</v>
      </c>
      <c r="B10" s="3"/>
      <c r="C10" s="3"/>
      <c r="D10" s="3"/>
      <c r="E10" s="3"/>
      <c r="F10" s="3"/>
      <c r="G10" s="3"/>
      <c r="H10" s="3"/>
      <c r="I10" s="3"/>
      <c r="J10" s="3"/>
      <c r="K10" s="5"/>
      <c r="L10" s="3"/>
      <c r="M10" s="3"/>
      <c r="N10" s="3"/>
      <c r="O10" s="88">
        <f t="shared" si="0"/>
        <v>0</v>
      </c>
      <c r="P10" s="88">
        <f t="shared" si="1"/>
        <v>0</v>
      </c>
      <c r="Q10" s="88">
        <f t="shared" si="2"/>
        <v>0</v>
      </c>
      <c r="R10" s="88">
        <f t="shared" si="3"/>
        <v>0</v>
      </c>
      <c r="S10" s="88">
        <f t="shared" si="4"/>
        <v>0</v>
      </c>
      <c r="T10" s="3"/>
      <c r="U10" s="3">
        <f t="shared" si="5"/>
        <v>0</v>
      </c>
      <c r="W10" s="49" t="s">
        <v>55</v>
      </c>
      <c r="X10" s="51">
        <f>SUM(M4:M33)</f>
        <v>0</v>
      </c>
      <c r="Y10" s="52"/>
    </row>
    <row r="11" spans="1:28" x14ac:dyDescent="0.25">
      <c r="A11" s="23">
        <v>6</v>
      </c>
      <c r="B11" s="19"/>
      <c r="C11" s="3"/>
      <c r="D11" s="3"/>
      <c r="E11" s="3"/>
      <c r="F11" s="3"/>
      <c r="G11" s="3"/>
      <c r="H11" s="3"/>
      <c r="I11" s="3"/>
      <c r="J11" s="3"/>
      <c r="K11" s="5"/>
      <c r="L11" s="3"/>
      <c r="M11" s="3"/>
      <c r="N11" s="3"/>
      <c r="O11" s="88">
        <f t="shared" si="0"/>
        <v>0</v>
      </c>
      <c r="P11" s="88">
        <f t="shared" si="1"/>
        <v>0</v>
      </c>
      <c r="Q11" s="88">
        <f t="shared" si="2"/>
        <v>0</v>
      </c>
      <c r="R11" s="88">
        <f t="shared" si="3"/>
        <v>0</v>
      </c>
      <c r="S11" s="88">
        <f t="shared" si="4"/>
        <v>0</v>
      </c>
      <c r="T11" s="3"/>
      <c r="U11" s="3">
        <f t="shared" si="5"/>
        <v>0</v>
      </c>
      <c r="W11" s="49" t="s">
        <v>94</v>
      </c>
      <c r="X11" s="51">
        <f>SUM(N4:N34)</f>
        <v>0</v>
      </c>
      <c r="Y11" s="52"/>
    </row>
    <row r="12" spans="1:28" x14ac:dyDescent="0.25">
      <c r="A12" s="23">
        <v>7</v>
      </c>
      <c r="B12" s="3"/>
      <c r="C12" s="3"/>
      <c r="D12" s="3"/>
      <c r="E12" s="3"/>
      <c r="F12" s="3"/>
      <c r="G12" s="3"/>
      <c r="H12" s="3"/>
      <c r="I12" s="3"/>
      <c r="J12" s="3"/>
      <c r="K12" s="5"/>
      <c r="L12" s="3"/>
      <c r="M12" s="3"/>
      <c r="N12" s="3"/>
      <c r="O12" s="88">
        <f t="shared" si="0"/>
        <v>0</v>
      </c>
      <c r="P12" s="88">
        <f t="shared" si="1"/>
        <v>0</v>
      </c>
      <c r="Q12" s="88">
        <f t="shared" si="2"/>
        <v>0</v>
      </c>
      <c r="R12" s="88">
        <f t="shared" si="3"/>
        <v>0</v>
      </c>
      <c r="S12" s="88">
        <f t="shared" si="4"/>
        <v>0</v>
      </c>
      <c r="T12" s="3"/>
      <c r="U12" s="3">
        <f t="shared" si="5"/>
        <v>0</v>
      </c>
      <c r="W12" s="49" t="s">
        <v>56</v>
      </c>
      <c r="X12" s="51">
        <f>-X3*X4</f>
        <v>0</v>
      </c>
      <c r="Y12" s="52"/>
    </row>
    <row r="13" spans="1:28" x14ac:dyDescent="0.25">
      <c r="A13" s="23">
        <v>8</v>
      </c>
      <c r="B13" s="3"/>
      <c r="C13" s="3"/>
      <c r="D13" s="3"/>
      <c r="E13" s="3"/>
      <c r="F13" s="3"/>
      <c r="G13" s="3"/>
      <c r="H13" s="3"/>
      <c r="I13" s="3"/>
      <c r="J13" s="3"/>
      <c r="K13" s="5"/>
      <c r="L13" s="3"/>
      <c r="M13" s="3"/>
      <c r="N13" s="3"/>
      <c r="O13" s="88">
        <f t="shared" si="0"/>
        <v>0</v>
      </c>
      <c r="P13" s="88">
        <f t="shared" si="1"/>
        <v>0</v>
      </c>
      <c r="Q13" s="88">
        <f t="shared" si="2"/>
        <v>0</v>
      </c>
      <c r="R13" s="88">
        <f t="shared" si="3"/>
        <v>0</v>
      </c>
      <c r="S13" s="88">
        <f t="shared" si="4"/>
        <v>0</v>
      </c>
      <c r="T13" s="3"/>
      <c r="U13" s="3">
        <f t="shared" si="5"/>
        <v>0</v>
      </c>
      <c r="W13" s="49" t="s">
        <v>57</v>
      </c>
      <c r="X13" s="55"/>
      <c r="Y13" s="52"/>
    </row>
    <row r="14" spans="1:28" x14ac:dyDescent="0.25">
      <c r="A14" s="23">
        <v>9</v>
      </c>
      <c r="B14" s="3"/>
      <c r="C14" s="3"/>
      <c r="D14" s="3"/>
      <c r="E14" s="3"/>
      <c r="F14" s="3"/>
      <c r="G14" s="3"/>
      <c r="H14" s="3"/>
      <c r="I14" s="3"/>
      <c r="J14" s="3"/>
      <c r="K14" s="5"/>
      <c r="L14" s="3"/>
      <c r="M14" s="3"/>
      <c r="N14" s="3"/>
      <c r="O14" s="88">
        <f t="shared" si="0"/>
        <v>0</v>
      </c>
      <c r="P14" s="88">
        <f t="shared" si="1"/>
        <v>0</v>
      </c>
      <c r="Q14" s="88">
        <f t="shared" si="2"/>
        <v>0</v>
      </c>
      <c r="R14" s="88">
        <f t="shared" si="3"/>
        <v>0</v>
      </c>
      <c r="S14" s="88">
        <f t="shared" si="4"/>
        <v>0</v>
      </c>
      <c r="T14" s="3"/>
      <c r="U14" s="3">
        <f t="shared" si="5"/>
        <v>0</v>
      </c>
      <c r="W14" s="49" t="s">
        <v>38</v>
      </c>
      <c r="X14" s="51">
        <f>SUM(T4:T33)</f>
        <v>0</v>
      </c>
      <c r="Y14" s="52"/>
    </row>
    <row r="15" spans="1:28" x14ac:dyDescent="0.25">
      <c r="A15" s="23">
        <v>10</v>
      </c>
      <c r="B15" s="3"/>
      <c r="C15" s="3"/>
      <c r="D15" s="3"/>
      <c r="E15" s="3"/>
      <c r="F15" s="22"/>
      <c r="G15" s="3"/>
      <c r="H15" s="3"/>
      <c r="I15" s="3"/>
      <c r="J15" s="3"/>
      <c r="K15" s="5"/>
      <c r="L15" s="3"/>
      <c r="M15" s="3"/>
      <c r="N15" s="3"/>
      <c r="O15" s="88">
        <f t="shared" si="0"/>
        <v>0</v>
      </c>
      <c r="P15" s="88">
        <f t="shared" si="1"/>
        <v>0</v>
      </c>
      <c r="Q15" s="88">
        <f t="shared" si="2"/>
        <v>0</v>
      </c>
      <c r="R15" s="88">
        <f t="shared" si="3"/>
        <v>0</v>
      </c>
      <c r="S15" s="88">
        <f t="shared" si="4"/>
        <v>0</v>
      </c>
      <c r="T15" s="3"/>
      <c r="U15" s="3">
        <f t="shared" si="5"/>
        <v>0</v>
      </c>
      <c r="W15" s="49" t="s">
        <v>37</v>
      </c>
      <c r="X15" s="55"/>
      <c r="Y15" s="52"/>
    </row>
    <row r="16" spans="1:28" x14ac:dyDescent="0.25">
      <c r="A16" s="23">
        <v>11</v>
      </c>
      <c r="B16" s="3"/>
      <c r="C16" s="3"/>
      <c r="D16" s="3"/>
      <c r="E16" s="3"/>
      <c r="F16" s="3"/>
      <c r="G16" s="3"/>
      <c r="H16" s="3"/>
      <c r="I16" s="3"/>
      <c r="J16" s="3"/>
      <c r="K16" s="5"/>
      <c r="L16" s="3"/>
      <c r="M16" s="3"/>
      <c r="N16" s="3"/>
      <c r="O16" s="88">
        <f t="shared" si="0"/>
        <v>0</v>
      </c>
      <c r="P16" s="88">
        <f t="shared" si="1"/>
        <v>0</v>
      </c>
      <c r="Q16" s="88">
        <f t="shared" si="2"/>
        <v>0</v>
      </c>
      <c r="R16" s="88">
        <f t="shared" si="3"/>
        <v>0</v>
      </c>
      <c r="S16" s="88">
        <f t="shared" si="4"/>
        <v>0</v>
      </c>
      <c r="T16" s="3"/>
      <c r="U16" s="3">
        <f t="shared" si="5"/>
        <v>0</v>
      </c>
      <c r="W16" s="49" t="s">
        <v>35</v>
      </c>
      <c r="X16" s="55"/>
      <c r="Y16" s="52"/>
    </row>
    <row r="17" spans="1:27" x14ac:dyDescent="0.25">
      <c r="A17" s="23">
        <v>12</v>
      </c>
      <c r="B17" s="3"/>
      <c r="C17" s="3"/>
      <c r="D17" s="3"/>
      <c r="E17" s="3"/>
      <c r="F17" s="3"/>
      <c r="G17" s="3"/>
      <c r="H17" s="3"/>
      <c r="I17" s="3"/>
      <c r="J17" s="3"/>
      <c r="K17" s="5"/>
      <c r="L17" s="3"/>
      <c r="M17" s="3"/>
      <c r="N17" s="3"/>
      <c r="O17" s="88">
        <f t="shared" si="0"/>
        <v>0</v>
      </c>
      <c r="P17" s="88">
        <f t="shared" si="1"/>
        <v>0</v>
      </c>
      <c r="Q17" s="88">
        <f t="shared" si="2"/>
        <v>0</v>
      </c>
      <c r="R17" s="88">
        <f t="shared" si="3"/>
        <v>0</v>
      </c>
      <c r="S17" s="88">
        <f t="shared" si="4"/>
        <v>0</v>
      </c>
      <c r="T17" s="3"/>
      <c r="U17" s="3">
        <f t="shared" si="5"/>
        <v>0</v>
      </c>
      <c r="W17" s="49" t="s">
        <v>58</v>
      </c>
      <c r="X17" s="55">
        <v>0</v>
      </c>
      <c r="Y17" s="52"/>
    </row>
    <row r="18" spans="1:27" x14ac:dyDescent="0.25">
      <c r="A18" s="23">
        <v>13</v>
      </c>
      <c r="B18" s="3"/>
      <c r="C18" s="3"/>
      <c r="D18" s="3"/>
      <c r="E18" s="3"/>
      <c r="F18" s="3"/>
      <c r="G18" s="3"/>
      <c r="H18" s="3"/>
      <c r="I18" s="3"/>
      <c r="J18" s="3"/>
      <c r="K18" s="5"/>
      <c r="L18" s="3"/>
      <c r="M18" s="3"/>
      <c r="N18" s="3"/>
      <c r="O18" s="88">
        <f t="shared" si="0"/>
        <v>0</v>
      </c>
      <c r="P18" s="88">
        <f t="shared" si="1"/>
        <v>0</v>
      </c>
      <c r="Q18" s="88">
        <f t="shared" si="2"/>
        <v>0</v>
      </c>
      <c r="R18" s="88">
        <f t="shared" si="3"/>
        <v>0</v>
      </c>
      <c r="S18" s="88">
        <f t="shared" si="4"/>
        <v>0</v>
      </c>
      <c r="T18" s="3"/>
      <c r="U18" s="3">
        <f t="shared" si="5"/>
        <v>0</v>
      </c>
      <c r="W18" s="49" t="s">
        <v>90</v>
      </c>
      <c r="X18" s="55"/>
      <c r="Y18" s="52"/>
    </row>
    <row r="19" spans="1:27" x14ac:dyDescent="0.25">
      <c r="A19" s="23">
        <v>14</v>
      </c>
      <c r="B19" s="3"/>
      <c r="C19" s="3"/>
      <c r="D19" s="3"/>
      <c r="E19" s="3"/>
      <c r="F19" s="3"/>
      <c r="G19" s="3"/>
      <c r="H19" s="3"/>
      <c r="I19" s="3"/>
      <c r="J19" s="3"/>
      <c r="K19" s="5"/>
      <c r="L19" s="3"/>
      <c r="M19" s="3"/>
      <c r="N19" s="3"/>
      <c r="O19" s="88">
        <f t="shared" si="0"/>
        <v>0</v>
      </c>
      <c r="P19" s="88">
        <f t="shared" si="1"/>
        <v>0</v>
      </c>
      <c r="Q19" s="88">
        <f t="shared" si="2"/>
        <v>0</v>
      </c>
      <c r="R19" s="88">
        <f t="shared" si="3"/>
        <v>0</v>
      </c>
      <c r="S19" s="88">
        <f t="shared" si="4"/>
        <v>0</v>
      </c>
      <c r="T19" s="3"/>
      <c r="U19" s="3">
        <f t="shared" si="5"/>
        <v>0</v>
      </c>
      <c r="W19" s="49" t="s">
        <v>91</v>
      </c>
      <c r="X19" s="51">
        <f>(X18*20%)+(-X21*11%)</f>
        <v>0</v>
      </c>
      <c r="Y19" s="52"/>
    </row>
    <row r="20" spans="1:27" x14ac:dyDescent="0.25">
      <c r="A20" s="23">
        <v>15</v>
      </c>
      <c r="B20" s="3"/>
      <c r="C20" s="3"/>
      <c r="D20" s="3"/>
      <c r="E20" s="3"/>
      <c r="F20" s="3"/>
      <c r="G20" s="3"/>
      <c r="H20" s="3"/>
      <c r="I20" s="3"/>
      <c r="J20" s="3"/>
      <c r="K20" s="5"/>
      <c r="L20" s="3"/>
      <c r="M20" s="3"/>
      <c r="N20" s="3"/>
      <c r="O20" s="88">
        <f t="shared" si="0"/>
        <v>0</v>
      </c>
      <c r="P20" s="88">
        <f t="shared" si="1"/>
        <v>0</v>
      </c>
      <c r="Q20" s="88">
        <f t="shared" si="2"/>
        <v>0</v>
      </c>
      <c r="R20" s="88">
        <f t="shared" si="3"/>
        <v>0</v>
      </c>
      <c r="S20" s="88">
        <f t="shared" si="4"/>
        <v>0</v>
      </c>
      <c r="T20" s="3"/>
      <c r="U20" s="3">
        <f t="shared" si="5"/>
        <v>0</v>
      </c>
      <c r="W20" s="49" t="s">
        <v>42</v>
      </c>
      <c r="X20" s="55"/>
      <c r="Y20" s="52"/>
    </row>
    <row r="21" spans="1:27" ht="15.75" thickBot="1" x14ac:dyDescent="0.3">
      <c r="A21" s="23">
        <v>16</v>
      </c>
      <c r="B21" s="3"/>
      <c r="C21" s="3"/>
      <c r="D21" s="3"/>
      <c r="E21" s="3"/>
      <c r="F21" s="3"/>
      <c r="G21" s="3"/>
      <c r="H21" s="3"/>
      <c r="I21" s="3"/>
      <c r="J21" s="3"/>
      <c r="K21" s="5"/>
      <c r="L21" s="3"/>
      <c r="M21" s="3"/>
      <c r="N21" s="3"/>
      <c r="O21" s="88">
        <f t="shared" si="0"/>
        <v>0</v>
      </c>
      <c r="P21" s="88">
        <f t="shared" si="1"/>
        <v>0</v>
      </c>
      <c r="Q21" s="88">
        <f t="shared" si="2"/>
        <v>0</v>
      </c>
      <c r="R21" s="88">
        <f t="shared" si="3"/>
        <v>0</v>
      </c>
      <c r="S21" s="88">
        <f t="shared" si="4"/>
        <v>0</v>
      </c>
      <c r="T21" s="3"/>
      <c r="U21" s="3">
        <f t="shared" si="5"/>
        <v>0</v>
      </c>
      <c r="W21" s="50" t="s">
        <v>43</v>
      </c>
      <c r="X21" s="56">
        <f>X3+X5+X6+X9+X10+X12+X13+X15+X16+X17+X18+X20+X7</f>
        <v>0</v>
      </c>
      <c r="Y21" s="35">
        <f>Y3+Y5+Y6+Y7+Y9+Y10+Y12+Y13+Y15+Y16+Y17+Y18+Y20</f>
        <v>0</v>
      </c>
      <c r="Z21" s="1"/>
      <c r="AA21" s="1"/>
    </row>
    <row r="22" spans="1:27" ht="15.75" thickBot="1" x14ac:dyDescent="0.3">
      <c r="A22" s="23">
        <v>17</v>
      </c>
      <c r="B22" s="3"/>
      <c r="C22" s="3"/>
      <c r="D22" s="3"/>
      <c r="E22" s="3"/>
      <c r="F22" s="3"/>
      <c r="G22" s="3"/>
      <c r="H22" s="3"/>
      <c r="I22" s="3"/>
      <c r="J22" s="3"/>
      <c r="K22" s="5"/>
      <c r="L22" s="3"/>
      <c r="M22" s="3"/>
      <c r="N22" s="3"/>
      <c r="O22" s="88">
        <f t="shared" si="0"/>
        <v>0</v>
      </c>
      <c r="P22" s="88">
        <f t="shared" si="1"/>
        <v>0</v>
      </c>
      <c r="Q22" s="88">
        <f t="shared" si="2"/>
        <v>0</v>
      </c>
      <c r="R22" s="88">
        <f t="shared" si="3"/>
        <v>0</v>
      </c>
      <c r="S22" s="88">
        <f t="shared" si="4"/>
        <v>0</v>
      </c>
      <c r="T22" s="3"/>
      <c r="U22" s="3">
        <f t="shared" si="5"/>
        <v>0</v>
      </c>
      <c r="W22" s="50" t="s">
        <v>92</v>
      </c>
      <c r="X22" s="56">
        <f>X3+X5+X6+X7+X9+X10+X12+X13+X14+X15+X16+X17+X18+X19+X20</f>
        <v>0</v>
      </c>
      <c r="Y22" s="35">
        <f>Y3+Y5+Y6+Y7+Y9+Y10+Y12+Y13+Y15+Y16+Y17+Y18+Y19+Y20</f>
        <v>0</v>
      </c>
    </row>
    <row r="23" spans="1:27" x14ac:dyDescent="0.25">
      <c r="A23" s="23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88">
        <f t="shared" si="0"/>
        <v>0</v>
      </c>
      <c r="P23" s="88">
        <f t="shared" si="1"/>
        <v>0</v>
      </c>
      <c r="Q23" s="88">
        <f t="shared" si="2"/>
        <v>0</v>
      </c>
      <c r="R23" s="88">
        <f t="shared" si="3"/>
        <v>0</v>
      </c>
      <c r="S23" s="88">
        <f t="shared" si="4"/>
        <v>0</v>
      </c>
      <c r="T23" s="3"/>
      <c r="U23" s="3">
        <f t="shared" si="5"/>
        <v>0</v>
      </c>
    </row>
    <row r="24" spans="1:27" x14ac:dyDescent="0.25">
      <c r="A24" s="23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88">
        <f t="shared" si="0"/>
        <v>0</v>
      </c>
      <c r="P24" s="88">
        <f t="shared" si="1"/>
        <v>0</v>
      </c>
      <c r="Q24" s="88">
        <f t="shared" si="2"/>
        <v>0</v>
      </c>
      <c r="R24" s="88">
        <f t="shared" si="3"/>
        <v>0</v>
      </c>
      <c r="S24" s="88">
        <f t="shared" si="4"/>
        <v>0</v>
      </c>
      <c r="T24" s="3"/>
      <c r="U24" s="3">
        <f t="shared" si="5"/>
        <v>0</v>
      </c>
      <c r="W24" s="13" t="s">
        <v>44</v>
      </c>
      <c r="X24" s="36">
        <f>X6+X5+X14+X13</f>
        <v>0</v>
      </c>
      <c r="Y24" s="14"/>
    </row>
    <row r="25" spans="1:27" x14ac:dyDescent="0.25">
      <c r="A25" s="23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88">
        <f t="shared" si="0"/>
        <v>0</v>
      </c>
      <c r="P25" s="88">
        <f t="shared" si="1"/>
        <v>0</v>
      </c>
      <c r="Q25" s="88">
        <f t="shared" si="2"/>
        <v>0</v>
      </c>
      <c r="R25" s="88">
        <f t="shared" si="3"/>
        <v>0</v>
      </c>
      <c r="S25" s="88">
        <f t="shared" si="4"/>
        <v>0</v>
      </c>
      <c r="T25" s="3"/>
      <c r="U25" s="3">
        <f t="shared" si="5"/>
        <v>0</v>
      </c>
    </row>
    <row r="26" spans="1:27" x14ac:dyDescent="0.25">
      <c r="A26" s="23">
        <v>21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88">
        <f t="shared" si="0"/>
        <v>0</v>
      </c>
      <c r="P26" s="88">
        <f t="shared" si="1"/>
        <v>0</v>
      </c>
      <c r="Q26" s="88">
        <f t="shared" si="2"/>
        <v>0</v>
      </c>
      <c r="R26" s="88">
        <f t="shared" si="3"/>
        <v>0</v>
      </c>
      <c r="S26" s="88">
        <f t="shared" si="4"/>
        <v>0</v>
      </c>
      <c r="T26" s="3"/>
      <c r="U26" s="3">
        <f t="shared" si="5"/>
        <v>0</v>
      </c>
      <c r="W26" s="1"/>
    </row>
    <row r="27" spans="1:27" x14ac:dyDescent="0.25">
      <c r="A27" s="23">
        <v>22</v>
      </c>
      <c r="B27" s="3"/>
      <c r="C27" s="3"/>
      <c r="D27" s="3"/>
      <c r="E27" s="3"/>
      <c r="F27" s="22"/>
      <c r="G27" s="3"/>
      <c r="H27" s="3"/>
      <c r="I27" s="3"/>
      <c r="J27" s="3"/>
      <c r="K27" s="5"/>
      <c r="L27" s="3"/>
      <c r="M27" s="3"/>
      <c r="N27" s="3"/>
      <c r="O27" s="88">
        <f t="shared" si="0"/>
        <v>0</v>
      </c>
      <c r="P27" s="88">
        <f t="shared" si="1"/>
        <v>0</v>
      </c>
      <c r="Q27" s="88">
        <f t="shared" si="2"/>
        <v>0</v>
      </c>
      <c r="R27" s="88">
        <f t="shared" si="3"/>
        <v>0</v>
      </c>
      <c r="S27" s="88">
        <f t="shared" si="4"/>
        <v>0</v>
      </c>
      <c r="T27" s="3"/>
      <c r="U27" s="3">
        <f t="shared" si="5"/>
        <v>0</v>
      </c>
      <c r="W27" s="11" t="s">
        <v>45</v>
      </c>
      <c r="X27" s="42">
        <f>(X22*X30)</f>
        <v>0</v>
      </c>
      <c r="Y27" s="12">
        <f>Y22*50%</f>
        <v>0</v>
      </c>
    </row>
    <row r="28" spans="1:27" x14ac:dyDescent="0.25">
      <c r="A28" s="23">
        <v>23</v>
      </c>
      <c r="B28" s="3"/>
      <c r="C28" s="3"/>
      <c r="D28" s="3"/>
      <c r="E28" s="3"/>
      <c r="F28" s="22"/>
      <c r="G28" s="3"/>
      <c r="H28" s="3"/>
      <c r="I28" s="3"/>
      <c r="J28" s="3"/>
      <c r="K28" s="5"/>
      <c r="L28" s="3"/>
      <c r="M28" s="3"/>
      <c r="N28" s="3"/>
      <c r="O28" s="88">
        <f t="shared" si="0"/>
        <v>0</v>
      </c>
      <c r="P28" s="88">
        <f t="shared" si="1"/>
        <v>0</v>
      </c>
      <c r="Q28" s="88">
        <f t="shared" si="2"/>
        <v>0</v>
      </c>
      <c r="R28" s="88">
        <f t="shared" si="3"/>
        <v>0</v>
      </c>
      <c r="S28" s="88">
        <f t="shared" si="4"/>
        <v>0</v>
      </c>
      <c r="T28" s="3"/>
      <c r="U28" s="3">
        <f t="shared" si="5"/>
        <v>0</v>
      </c>
      <c r="W28" s="11" t="s">
        <v>46</v>
      </c>
      <c r="X28" s="42">
        <f>X22*X31</f>
        <v>0</v>
      </c>
      <c r="Y28" s="12">
        <f>Y22*X31</f>
        <v>0</v>
      </c>
    </row>
    <row r="29" spans="1:27" ht="15.75" thickBot="1" x14ac:dyDescent="0.3">
      <c r="A29" s="23">
        <v>24</v>
      </c>
      <c r="B29" s="3"/>
      <c r="C29" s="3"/>
      <c r="D29" s="3"/>
      <c r="E29" s="3"/>
      <c r="F29" s="22"/>
      <c r="G29" s="3"/>
      <c r="H29" s="3"/>
      <c r="I29" s="3"/>
      <c r="J29" s="3"/>
      <c r="K29" s="5"/>
      <c r="L29" s="3"/>
      <c r="M29" s="3"/>
      <c r="N29" s="3"/>
      <c r="O29" s="88">
        <f t="shared" si="0"/>
        <v>0</v>
      </c>
      <c r="P29" s="88">
        <f t="shared" si="1"/>
        <v>0</v>
      </c>
      <c r="Q29" s="88">
        <f t="shared" si="2"/>
        <v>0</v>
      </c>
      <c r="R29" s="88">
        <f t="shared" si="3"/>
        <v>0</v>
      </c>
      <c r="S29" s="88">
        <f t="shared" si="4"/>
        <v>0</v>
      </c>
      <c r="T29" s="3"/>
      <c r="U29" s="3">
        <f t="shared" si="5"/>
        <v>0</v>
      </c>
      <c r="Y29" s="1"/>
    </row>
    <row r="30" spans="1:27" ht="15.75" thickBot="1" x14ac:dyDescent="0.3">
      <c r="A30" s="23">
        <v>25</v>
      </c>
      <c r="B30" s="3"/>
      <c r="C30" s="3"/>
      <c r="D30" s="3"/>
      <c r="E30" s="3"/>
      <c r="F30" s="22"/>
      <c r="G30" s="3"/>
      <c r="H30" s="3"/>
      <c r="I30" s="3"/>
      <c r="J30" s="3"/>
      <c r="K30" s="5"/>
      <c r="L30" s="5"/>
      <c r="M30" s="3"/>
      <c r="N30" s="3"/>
      <c r="O30" s="88">
        <f t="shared" si="0"/>
        <v>0</v>
      </c>
      <c r="P30" s="88">
        <f t="shared" si="1"/>
        <v>0</v>
      </c>
      <c r="Q30" s="88">
        <f t="shared" si="2"/>
        <v>0</v>
      </c>
      <c r="R30" s="88">
        <f t="shared" si="3"/>
        <v>0</v>
      </c>
      <c r="S30" s="88">
        <f t="shared" si="4"/>
        <v>0</v>
      </c>
      <c r="T30" s="3"/>
      <c r="U30" s="3">
        <f t="shared" si="5"/>
        <v>0</v>
      </c>
      <c r="W30" s="46" t="s">
        <v>73</v>
      </c>
      <c r="X30" s="47">
        <v>0.5</v>
      </c>
    </row>
    <row r="31" spans="1:27" ht="15.75" thickBot="1" x14ac:dyDescent="0.3">
      <c r="A31" s="23">
        <v>26</v>
      </c>
      <c r="B31" s="3"/>
      <c r="C31" s="3"/>
      <c r="D31" s="3"/>
      <c r="E31" s="3"/>
      <c r="F31" s="22"/>
      <c r="G31" s="3"/>
      <c r="H31" s="3"/>
      <c r="I31" s="3"/>
      <c r="J31" s="3"/>
      <c r="K31" s="5"/>
      <c r="L31" s="3"/>
      <c r="M31" s="3"/>
      <c r="N31" s="3"/>
      <c r="O31" s="88">
        <f t="shared" si="0"/>
        <v>0</v>
      </c>
      <c r="P31" s="88">
        <f t="shared" si="1"/>
        <v>0</v>
      </c>
      <c r="Q31" s="88">
        <f t="shared" si="2"/>
        <v>0</v>
      </c>
      <c r="R31" s="88">
        <f t="shared" si="3"/>
        <v>0</v>
      </c>
      <c r="S31" s="88">
        <f t="shared" si="4"/>
        <v>0</v>
      </c>
      <c r="T31" s="3"/>
      <c r="U31" s="3">
        <f t="shared" si="5"/>
        <v>0</v>
      </c>
      <c r="W31" s="46" t="s">
        <v>46</v>
      </c>
      <c r="X31" s="48">
        <v>0.5</v>
      </c>
      <c r="Z31" s="122"/>
      <c r="AA31" s="123"/>
    </row>
    <row r="32" spans="1:27" ht="15.75" thickBot="1" x14ac:dyDescent="0.3">
      <c r="A32" s="23">
        <v>27</v>
      </c>
      <c r="B32" s="3"/>
      <c r="C32" s="3"/>
      <c r="D32" s="3"/>
      <c r="E32" s="3"/>
      <c r="F32" s="22"/>
      <c r="G32" s="3"/>
      <c r="H32" s="3"/>
      <c r="I32" s="3"/>
      <c r="J32" s="3"/>
      <c r="K32" s="5"/>
      <c r="L32" s="3"/>
      <c r="M32" s="3"/>
      <c r="N32" s="3"/>
      <c r="O32" s="88">
        <f t="shared" si="0"/>
        <v>0</v>
      </c>
      <c r="P32" s="88">
        <f t="shared" si="1"/>
        <v>0</v>
      </c>
      <c r="Q32" s="88">
        <f t="shared" si="2"/>
        <v>0</v>
      </c>
      <c r="R32" s="88">
        <f t="shared" si="3"/>
        <v>0</v>
      </c>
      <c r="S32" s="88">
        <f t="shared" si="4"/>
        <v>0</v>
      </c>
      <c r="T32" s="3"/>
      <c r="U32" s="3">
        <f t="shared" si="5"/>
        <v>0</v>
      </c>
      <c r="W32" s="1"/>
      <c r="X32" s="40"/>
      <c r="Y32" s="121" t="s">
        <v>71</v>
      </c>
      <c r="Z32" s="44"/>
      <c r="AA32" s="45"/>
    </row>
    <row r="33" spans="1:28" s="1" customFormat="1" ht="15.75" thickBot="1" x14ac:dyDescent="0.3">
      <c r="A33" s="23">
        <v>28</v>
      </c>
      <c r="B33" s="3"/>
      <c r="C33" s="3"/>
      <c r="D33" s="3"/>
      <c r="E33" s="3"/>
      <c r="F33" s="22"/>
      <c r="G33" s="3"/>
      <c r="H33" s="3"/>
      <c r="I33" s="3"/>
      <c r="J33" s="3"/>
      <c r="K33" s="5"/>
      <c r="L33" s="3"/>
      <c r="M33" s="3"/>
      <c r="N33" s="3"/>
      <c r="O33" s="88">
        <f t="shared" si="0"/>
        <v>0</v>
      </c>
      <c r="P33" s="88">
        <f t="shared" si="1"/>
        <v>0</v>
      </c>
      <c r="Q33" s="88">
        <f t="shared" si="2"/>
        <v>0</v>
      </c>
      <c r="R33" s="88">
        <f t="shared" si="3"/>
        <v>0</v>
      </c>
      <c r="S33" s="88">
        <f t="shared" si="4"/>
        <v>0</v>
      </c>
      <c r="T33" s="3"/>
      <c r="U33" s="3">
        <f t="shared" si="5"/>
        <v>0</v>
      </c>
      <c r="V33" s="6"/>
      <c r="X33" s="41"/>
      <c r="Y33" s="43" t="s">
        <v>72</v>
      </c>
      <c r="Z33" s="6"/>
      <c r="AA33" s="6"/>
      <c r="AB33" s="6"/>
    </row>
    <row r="34" spans="1:28" s="1" customFormat="1" x14ac:dyDescent="0.25">
      <c r="A34" s="23">
        <v>29</v>
      </c>
      <c r="B34" s="3"/>
      <c r="C34" s="3"/>
      <c r="D34" s="3"/>
      <c r="E34" s="3"/>
      <c r="F34" s="22"/>
      <c r="G34" s="3"/>
      <c r="H34" s="3"/>
      <c r="I34" s="3"/>
      <c r="J34" s="3"/>
      <c r="K34" s="5"/>
      <c r="L34" s="3"/>
      <c r="M34" s="3"/>
      <c r="N34" s="3"/>
      <c r="O34" s="88">
        <f t="shared" si="0"/>
        <v>0</v>
      </c>
      <c r="P34" s="88">
        <f t="shared" si="1"/>
        <v>0</v>
      </c>
      <c r="Q34" s="88">
        <f t="shared" si="2"/>
        <v>0</v>
      </c>
      <c r="R34" s="88">
        <f t="shared" si="3"/>
        <v>0</v>
      </c>
      <c r="S34" s="88">
        <f t="shared" si="4"/>
        <v>0</v>
      </c>
      <c r="T34" s="3"/>
      <c r="U34" s="3">
        <f t="shared" si="5"/>
        <v>0</v>
      </c>
      <c r="V34" s="6"/>
      <c r="W34" s="6"/>
      <c r="Y34" s="6"/>
      <c r="Z34" s="6"/>
      <c r="AA34" s="6"/>
      <c r="AB34" s="6"/>
    </row>
    <row r="35" spans="1:28" s="1" customFormat="1" x14ac:dyDescent="0.25">
      <c r="A35" s="20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Y35" s="6"/>
      <c r="Z35" s="6"/>
      <c r="AA35" s="6"/>
      <c r="AB35" s="6"/>
    </row>
    <row r="36" spans="1:28" s="1" customFormat="1" x14ac:dyDescent="0.25">
      <c r="A36" s="139" t="s">
        <v>47</v>
      </c>
      <c r="B36" s="139"/>
      <c r="C36" s="21">
        <f>SUM(C4:C34)</f>
        <v>0</v>
      </c>
      <c r="D36" s="21">
        <f t="shared" ref="D36:I36" si="6">SUM(D4:D34)</f>
        <v>0</v>
      </c>
      <c r="E36" s="21">
        <f t="shared" si="6"/>
        <v>0</v>
      </c>
      <c r="F36" s="21">
        <f t="shared" si="6"/>
        <v>0</v>
      </c>
      <c r="G36" s="21">
        <f t="shared" si="6"/>
        <v>0</v>
      </c>
      <c r="H36" s="21">
        <f t="shared" si="6"/>
        <v>0</v>
      </c>
      <c r="I36" s="21">
        <f t="shared" si="6"/>
        <v>0</v>
      </c>
      <c r="J36" s="18"/>
      <c r="K36" s="1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Y36" s="6"/>
      <c r="Z36" s="6"/>
      <c r="AA36" s="6"/>
      <c r="AB36" s="6"/>
    </row>
    <row r="37" spans="1:28" s="1" customFormat="1" x14ac:dyDescent="0.25">
      <c r="A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Y37" s="6"/>
      <c r="Z37" s="6"/>
      <c r="AA37" s="6"/>
      <c r="AB37" s="6"/>
    </row>
    <row r="38" spans="1:28" s="1" customFormat="1" x14ac:dyDescent="0.25">
      <c r="A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Y38" s="6"/>
      <c r="Z38" s="6"/>
      <c r="AA38" s="6"/>
      <c r="AB38" s="6"/>
    </row>
    <row r="39" spans="1:28" s="1" customFormat="1" x14ac:dyDescent="0.25">
      <c r="A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Y39" s="6"/>
      <c r="Z39" s="6"/>
      <c r="AA39" s="6"/>
      <c r="AB39" s="6"/>
    </row>
    <row r="464" spans="25:25" x14ac:dyDescent="0.25">
      <c r="Y464" s="1"/>
    </row>
  </sheetData>
  <mergeCells count="2">
    <mergeCell ref="A1:U2"/>
    <mergeCell ref="A36:B36"/>
  </mergeCells>
  <pageMargins left="0.7" right="0.7" top="0.75" bottom="0.75" header="0.3" footer="0.3"/>
  <pageSetup paperSize="25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35EF-7090-4C86-B4DC-188FED7A041B}">
  <dimension ref="A1:AB464"/>
  <sheetViews>
    <sheetView topLeftCell="J1" workbookViewId="0">
      <selection activeCell="X5" sqref="X5"/>
    </sheetView>
  </sheetViews>
  <sheetFormatPr defaultRowHeight="15" x14ac:dyDescent="0.25"/>
  <cols>
    <col min="1" max="1" width="4.28515625" style="6" bestFit="1" customWidth="1"/>
    <col min="2" max="2" width="15.28515625" style="1" bestFit="1" customWidth="1"/>
    <col min="3" max="3" width="15.85546875" style="6" bestFit="1" customWidth="1"/>
    <col min="4" max="4" width="16.85546875" style="6" bestFit="1" customWidth="1"/>
    <col min="5" max="9" width="16.85546875" style="6" customWidth="1"/>
    <col min="10" max="10" width="14.28515625" style="6" bestFit="1" customWidth="1"/>
    <col min="11" max="12" width="10.7109375" style="6" bestFit="1" customWidth="1"/>
    <col min="13" max="13" width="12.5703125" style="6" bestFit="1" customWidth="1"/>
    <col min="14" max="14" width="12.5703125" style="6" customWidth="1"/>
    <col min="15" max="15" width="9.42578125" style="6" bestFit="1" customWidth="1"/>
    <col min="16" max="16" width="11.28515625" style="6" bestFit="1" customWidth="1"/>
    <col min="17" max="17" width="15.140625" style="6" bestFit="1" customWidth="1"/>
    <col min="18" max="19" width="8.28515625" style="6" bestFit="1" customWidth="1"/>
    <col min="20" max="20" width="14.5703125" style="6" bestFit="1" customWidth="1"/>
    <col min="21" max="21" width="19" style="6" bestFit="1" customWidth="1"/>
    <col min="22" max="22" width="15.85546875" style="6" customWidth="1"/>
    <col min="23" max="23" width="28.85546875" style="6" bestFit="1" customWidth="1"/>
    <col min="24" max="24" width="11.7109375" style="1" bestFit="1" customWidth="1"/>
    <col min="25" max="25" width="10.7109375" style="6" bestFit="1" customWidth="1"/>
    <col min="26" max="26" width="15.28515625" style="6" bestFit="1" customWidth="1"/>
    <col min="27" max="27" width="21.7109375" style="6" bestFit="1" customWidth="1"/>
    <col min="28" max="28" width="15.85546875" style="6" customWidth="1"/>
    <col min="29" max="16384" width="9.140625" style="6"/>
  </cols>
  <sheetData>
    <row r="1" spans="1:28" ht="15.75" thickBot="1" x14ac:dyDescent="0.3">
      <c r="A1" s="138" t="s">
        <v>64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</row>
    <row r="2" spans="1:28" x14ac:dyDescent="0.25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W2" s="62"/>
      <c r="X2" s="63" t="s">
        <v>49</v>
      </c>
      <c r="Y2" s="64" t="s">
        <v>50</v>
      </c>
    </row>
    <row r="3" spans="1:28" x14ac:dyDescent="0.25">
      <c r="A3" s="9" t="s">
        <v>21</v>
      </c>
      <c r="B3" s="7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9" t="s">
        <v>31</v>
      </c>
      <c r="L3" s="8" t="s">
        <v>32</v>
      </c>
      <c r="M3" s="8" t="s">
        <v>33</v>
      </c>
      <c r="N3" s="8" t="s">
        <v>94</v>
      </c>
      <c r="O3" s="8" t="s">
        <v>34</v>
      </c>
      <c r="P3" s="8" t="s">
        <v>58</v>
      </c>
      <c r="Q3" s="8" t="s">
        <v>35</v>
      </c>
      <c r="R3" s="8" t="s">
        <v>36</v>
      </c>
      <c r="S3" s="8" t="s">
        <v>37</v>
      </c>
      <c r="T3" s="8" t="s">
        <v>38</v>
      </c>
      <c r="U3" s="9" t="s">
        <v>39</v>
      </c>
      <c r="W3" s="49" t="s">
        <v>17</v>
      </c>
      <c r="X3" s="51">
        <f>SUM(C35:I35)</f>
        <v>0</v>
      </c>
      <c r="Y3" s="51"/>
      <c r="AA3" s="60" t="s">
        <v>75</v>
      </c>
      <c r="AB3" s="60" t="s">
        <v>74</v>
      </c>
    </row>
    <row r="4" spans="1:28" x14ac:dyDescent="0.25">
      <c r="A4" s="23">
        <v>30</v>
      </c>
      <c r="B4" s="19"/>
      <c r="C4" s="4"/>
      <c r="D4" s="4"/>
      <c r="E4" s="4"/>
      <c r="F4" s="4"/>
      <c r="G4" s="4"/>
      <c r="H4" s="4"/>
      <c r="I4" s="4"/>
      <c r="J4" s="4"/>
      <c r="K4" s="10"/>
      <c r="L4" s="3"/>
      <c r="M4" s="3"/>
      <c r="N4" s="3"/>
      <c r="O4" s="88">
        <f>$X$18/30</f>
        <v>0</v>
      </c>
      <c r="P4" s="88">
        <f>$X$17/30</f>
        <v>0</v>
      </c>
      <c r="Q4" s="88">
        <f>$X$16/30</f>
        <v>0</v>
      </c>
      <c r="R4" s="88">
        <f>$X$19/30</f>
        <v>0</v>
      </c>
      <c r="S4" s="88">
        <f>$X$15/30</f>
        <v>0</v>
      </c>
      <c r="T4" s="3"/>
      <c r="U4" s="3">
        <f>C4+B4+K4+L4+M4+O4+P4+Q4+R4+S4+T4+D4+E4+F4+G4+I4+H4</f>
        <v>0</v>
      </c>
      <c r="W4" s="49" t="s">
        <v>40</v>
      </c>
      <c r="X4" s="53">
        <v>0.04</v>
      </c>
      <c r="Y4" s="53"/>
      <c r="AA4" s="58" t="str">
        <f>IFERROR(-(X3/(X6+X7)),"")</f>
        <v/>
      </c>
      <c r="AB4" s="59" t="str">
        <f>IF($AA$4 &gt; 12, "⭐ Excelente", IF($AA$4 &gt;= 6, "✅ Saudável", IF($AA$4 &lt; 5, "🛑 Perigo", "⚠️ Atenção")))</f>
        <v>⭐ Excelente</v>
      </c>
    </row>
    <row r="5" spans="1:28" x14ac:dyDescent="0.25">
      <c r="A5" s="23">
        <v>31</v>
      </c>
      <c r="B5" s="19"/>
      <c r="C5" s="3"/>
      <c r="D5" s="3"/>
      <c r="E5" s="3"/>
      <c r="F5" s="3"/>
      <c r="G5" s="3"/>
      <c r="H5" s="3"/>
      <c r="I5" s="3"/>
      <c r="J5" s="3"/>
      <c r="K5" s="5"/>
      <c r="L5" s="3"/>
      <c r="M5" s="3"/>
      <c r="N5" s="3"/>
      <c r="O5" s="88">
        <f t="shared" ref="O5:O34" si="0">$X$18/30</f>
        <v>0</v>
      </c>
      <c r="P5" s="88">
        <f t="shared" ref="P5:P34" si="1">$X$17/30</f>
        <v>0</v>
      </c>
      <c r="Q5" s="88">
        <f t="shared" ref="Q5:Q34" si="2">$X$16/30</f>
        <v>0</v>
      </c>
      <c r="R5" s="88">
        <f t="shared" ref="R5:R34" si="3">$X$19/30</f>
        <v>0</v>
      </c>
      <c r="S5" s="88">
        <f t="shared" ref="S5:S34" si="4">$X$15/30</f>
        <v>0</v>
      </c>
      <c r="T5" s="3"/>
      <c r="U5" s="3">
        <f t="shared" ref="U5:U34" si="5">C5+B5+K5+L5+M5+O5+P5+Q5+R5+S5+T5+D5+E5+F5+G5+I5+H5</f>
        <v>0</v>
      </c>
      <c r="W5" s="49" t="s">
        <v>51</v>
      </c>
      <c r="X5" s="51">
        <f>SUM(B4:B33)</f>
        <v>0</v>
      </c>
      <c r="Y5" s="52"/>
      <c r="Z5" s="1"/>
      <c r="AB5" s="1"/>
    </row>
    <row r="6" spans="1:28" x14ac:dyDescent="0.25">
      <c r="A6" s="23">
        <v>1</v>
      </c>
      <c r="B6" s="19"/>
      <c r="C6" s="3"/>
      <c r="D6" s="3"/>
      <c r="E6" s="3"/>
      <c r="F6" s="3"/>
      <c r="G6" s="3"/>
      <c r="H6" s="3"/>
      <c r="I6" s="3"/>
      <c r="J6" s="3"/>
      <c r="K6" s="5"/>
      <c r="L6" s="3"/>
      <c r="M6" s="3"/>
      <c r="N6" s="3"/>
      <c r="O6" s="88">
        <f t="shared" si="0"/>
        <v>0</v>
      </c>
      <c r="P6" s="88">
        <f t="shared" si="1"/>
        <v>0</v>
      </c>
      <c r="Q6" s="88">
        <f t="shared" si="2"/>
        <v>0</v>
      </c>
      <c r="R6" s="88">
        <f t="shared" si="3"/>
        <v>0</v>
      </c>
      <c r="S6" s="88">
        <f t="shared" si="4"/>
        <v>0</v>
      </c>
      <c r="T6" s="3"/>
      <c r="U6" s="3">
        <f t="shared" si="5"/>
        <v>0</v>
      </c>
      <c r="W6" s="49" t="s">
        <v>52</v>
      </c>
      <c r="X6" s="51">
        <f>SUM(K4:K33)</f>
        <v>0</v>
      </c>
      <c r="Y6" s="52"/>
      <c r="AA6" s="95" t="s">
        <v>86</v>
      </c>
      <c r="AB6" s="94" t="str">
        <f>IFERROR(ABS(SUM(X14:X19)) / ((X3 - ABS(SUM(X5:X12))) / X3), "")</f>
        <v/>
      </c>
    </row>
    <row r="7" spans="1:28" x14ac:dyDescent="0.25">
      <c r="A7" s="23">
        <v>2</v>
      </c>
      <c r="B7" s="3"/>
      <c r="C7" s="3"/>
      <c r="D7" s="3"/>
      <c r="E7" s="3"/>
      <c r="F7" s="3"/>
      <c r="G7" s="3"/>
      <c r="H7" s="3"/>
      <c r="I7" s="3"/>
      <c r="J7" s="3"/>
      <c r="K7" s="5"/>
      <c r="L7" s="3"/>
      <c r="M7" s="3"/>
      <c r="N7" s="3"/>
      <c r="O7" s="88">
        <f t="shared" si="0"/>
        <v>0</v>
      </c>
      <c r="P7" s="88">
        <f t="shared" si="1"/>
        <v>0</v>
      </c>
      <c r="Q7" s="88">
        <f t="shared" si="2"/>
        <v>0</v>
      </c>
      <c r="R7" s="88">
        <f t="shared" si="3"/>
        <v>0</v>
      </c>
      <c r="S7" s="88">
        <f t="shared" si="4"/>
        <v>0</v>
      </c>
      <c r="T7" s="3"/>
      <c r="U7" s="3">
        <f t="shared" si="5"/>
        <v>0</v>
      </c>
      <c r="W7" s="49" t="s">
        <v>53</v>
      </c>
      <c r="X7" s="55"/>
      <c r="Y7" s="55"/>
    </row>
    <row r="8" spans="1:28" x14ac:dyDescent="0.25">
      <c r="A8" s="23">
        <v>3</v>
      </c>
      <c r="B8" s="3"/>
      <c r="C8" s="3"/>
      <c r="D8" s="3"/>
      <c r="E8" s="3"/>
      <c r="F8" s="3"/>
      <c r="G8" s="3"/>
      <c r="H8" s="3"/>
      <c r="I8" s="3"/>
      <c r="J8" s="3"/>
      <c r="K8" s="5"/>
      <c r="L8" s="3"/>
      <c r="M8" s="3"/>
      <c r="N8" s="3"/>
      <c r="O8" s="88">
        <f t="shared" si="0"/>
        <v>0</v>
      </c>
      <c r="P8" s="88">
        <f t="shared" si="1"/>
        <v>0</v>
      </c>
      <c r="Q8" s="88">
        <f t="shared" si="2"/>
        <v>0</v>
      </c>
      <c r="R8" s="88">
        <f t="shared" si="3"/>
        <v>0</v>
      </c>
      <c r="S8" s="88">
        <f t="shared" si="4"/>
        <v>0</v>
      </c>
      <c r="T8" s="3"/>
      <c r="U8" s="3">
        <f t="shared" si="5"/>
        <v>0</v>
      </c>
      <c r="W8" s="49" t="s">
        <v>41</v>
      </c>
      <c r="X8" s="51">
        <f>(SUM(J4:J33))/31</f>
        <v>0</v>
      </c>
      <c r="Y8" s="51"/>
    </row>
    <row r="9" spans="1:28" x14ac:dyDescent="0.25">
      <c r="A9" s="23">
        <v>4</v>
      </c>
      <c r="B9" s="3"/>
      <c r="C9" s="3"/>
      <c r="D9" s="3"/>
      <c r="E9" s="3"/>
      <c r="F9" s="3"/>
      <c r="G9" s="3"/>
      <c r="H9" s="3"/>
      <c r="I9" s="3"/>
      <c r="J9" s="3"/>
      <c r="K9" s="5"/>
      <c r="L9" s="3"/>
      <c r="M9" s="3"/>
      <c r="N9" s="3"/>
      <c r="O9" s="88">
        <f t="shared" si="0"/>
        <v>0</v>
      </c>
      <c r="P9" s="88">
        <f t="shared" si="1"/>
        <v>0</v>
      </c>
      <c r="Q9" s="88">
        <f t="shared" si="2"/>
        <v>0</v>
      </c>
      <c r="R9" s="88">
        <f t="shared" si="3"/>
        <v>0</v>
      </c>
      <c r="S9" s="88">
        <f t="shared" si="4"/>
        <v>0</v>
      </c>
      <c r="T9" s="3"/>
      <c r="U9" s="3">
        <f t="shared" si="5"/>
        <v>0</v>
      </c>
      <c r="W9" s="49" t="s">
        <v>54</v>
      </c>
      <c r="X9" s="51">
        <f>SUM(L4:L33)</f>
        <v>0</v>
      </c>
      <c r="Y9" s="52"/>
    </row>
    <row r="10" spans="1:28" x14ac:dyDescent="0.25">
      <c r="A10" s="23">
        <v>5</v>
      </c>
      <c r="B10" s="3"/>
      <c r="C10" s="3"/>
      <c r="D10" s="3"/>
      <c r="E10" s="3"/>
      <c r="F10" s="3"/>
      <c r="G10" s="3"/>
      <c r="H10" s="3"/>
      <c r="I10" s="3"/>
      <c r="J10" s="3"/>
      <c r="K10" s="5"/>
      <c r="L10" s="3"/>
      <c r="M10" s="3"/>
      <c r="N10" s="3"/>
      <c r="O10" s="88">
        <f t="shared" si="0"/>
        <v>0</v>
      </c>
      <c r="P10" s="88">
        <f t="shared" si="1"/>
        <v>0</v>
      </c>
      <c r="Q10" s="88">
        <f t="shared" si="2"/>
        <v>0</v>
      </c>
      <c r="R10" s="88">
        <f t="shared" si="3"/>
        <v>0</v>
      </c>
      <c r="S10" s="88">
        <f t="shared" si="4"/>
        <v>0</v>
      </c>
      <c r="T10" s="3"/>
      <c r="U10" s="3">
        <f t="shared" si="5"/>
        <v>0</v>
      </c>
      <c r="W10" s="49" t="s">
        <v>55</v>
      </c>
      <c r="X10" s="51">
        <f>SUM(M4:M33)</f>
        <v>0</v>
      </c>
      <c r="Y10" s="52"/>
    </row>
    <row r="11" spans="1:28" x14ac:dyDescent="0.25">
      <c r="A11" s="23">
        <v>6</v>
      </c>
      <c r="B11" s="19"/>
      <c r="C11" s="3"/>
      <c r="D11" s="3"/>
      <c r="E11" s="3"/>
      <c r="F11" s="3"/>
      <c r="G11" s="3"/>
      <c r="H11" s="3"/>
      <c r="I11" s="3"/>
      <c r="J11" s="3"/>
      <c r="K11" s="5"/>
      <c r="L11" s="3"/>
      <c r="M11" s="3"/>
      <c r="N11" s="3"/>
      <c r="O11" s="88">
        <f t="shared" si="0"/>
        <v>0</v>
      </c>
      <c r="P11" s="88">
        <f t="shared" si="1"/>
        <v>0</v>
      </c>
      <c r="Q11" s="88">
        <f t="shared" si="2"/>
        <v>0</v>
      </c>
      <c r="R11" s="88">
        <f t="shared" si="3"/>
        <v>0</v>
      </c>
      <c r="S11" s="88">
        <f t="shared" si="4"/>
        <v>0</v>
      </c>
      <c r="T11" s="3"/>
      <c r="U11" s="3">
        <f t="shared" si="5"/>
        <v>0</v>
      </c>
      <c r="W11" s="49" t="s">
        <v>94</v>
      </c>
      <c r="X11" s="51">
        <f>SUM(N4:N34)</f>
        <v>0</v>
      </c>
      <c r="Y11" s="52"/>
    </row>
    <row r="12" spans="1:28" x14ac:dyDescent="0.25">
      <c r="A12" s="23">
        <v>7</v>
      </c>
      <c r="B12" s="3"/>
      <c r="C12" s="3"/>
      <c r="D12" s="3"/>
      <c r="E12" s="3"/>
      <c r="F12" s="3"/>
      <c r="G12" s="3"/>
      <c r="H12" s="3"/>
      <c r="I12" s="3"/>
      <c r="J12" s="3"/>
      <c r="K12" s="5"/>
      <c r="L12" s="3"/>
      <c r="M12" s="3"/>
      <c r="N12" s="3"/>
      <c r="O12" s="88">
        <f t="shared" si="0"/>
        <v>0</v>
      </c>
      <c r="P12" s="88">
        <f t="shared" si="1"/>
        <v>0</v>
      </c>
      <c r="Q12" s="88">
        <f t="shared" si="2"/>
        <v>0</v>
      </c>
      <c r="R12" s="88">
        <f t="shared" si="3"/>
        <v>0</v>
      </c>
      <c r="S12" s="88">
        <f t="shared" si="4"/>
        <v>0</v>
      </c>
      <c r="T12" s="3"/>
      <c r="U12" s="3">
        <f t="shared" si="5"/>
        <v>0</v>
      </c>
      <c r="W12" s="49" t="s">
        <v>56</v>
      </c>
      <c r="X12" s="51">
        <f>-X3*X4</f>
        <v>0</v>
      </c>
      <c r="Y12" s="52"/>
    </row>
    <row r="13" spans="1:28" x14ac:dyDescent="0.25">
      <c r="A13" s="23">
        <v>8</v>
      </c>
      <c r="B13" s="3"/>
      <c r="C13" s="3"/>
      <c r="D13" s="3"/>
      <c r="E13" s="3"/>
      <c r="F13" s="3"/>
      <c r="G13" s="3"/>
      <c r="H13" s="3"/>
      <c r="I13" s="3"/>
      <c r="J13" s="3"/>
      <c r="K13" s="5"/>
      <c r="L13" s="3"/>
      <c r="M13" s="3"/>
      <c r="N13" s="3"/>
      <c r="O13" s="88">
        <f t="shared" si="0"/>
        <v>0</v>
      </c>
      <c r="P13" s="88">
        <f t="shared" si="1"/>
        <v>0</v>
      </c>
      <c r="Q13" s="88">
        <f t="shared" si="2"/>
        <v>0</v>
      </c>
      <c r="R13" s="88">
        <f t="shared" si="3"/>
        <v>0</v>
      </c>
      <c r="S13" s="88">
        <f t="shared" si="4"/>
        <v>0</v>
      </c>
      <c r="T13" s="3"/>
      <c r="U13" s="3">
        <f t="shared" si="5"/>
        <v>0</v>
      </c>
      <c r="W13" s="49" t="s">
        <v>57</v>
      </c>
      <c r="X13" s="55"/>
      <c r="Y13" s="52"/>
    </row>
    <row r="14" spans="1:28" x14ac:dyDescent="0.25">
      <c r="A14" s="23">
        <v>9</v>
      </c>
      <c r="B14" s="3"/>
      <c r="C14" s="3"/>
      <c r="D14" s="3"/>
      <c r="E14" s="3"/>
      <c r="F14" s="3"/>
      <c r="G14" s="3"/>
      <c r="H14" s="3"/>
      <c r="I14" s="3"/>
      <c r="J14" s="3"/>
      <c r="K14" s="5"/>
      <c r="L14" s="3"/>
      <c r="M14" s="3"/>
      <c r="N14" s="3"/>
      <c r="O14" s="88">
        <f t="shared" si="0"/>
        <v>0</v>
      </c>
      <c r="P14" s="88">
        <f t="shared" si="1"/>
        <v>0</v>
      </c>
      <c r="Q14" s="88">
        <f t="shared" si="2"/>
        <v>0</v>
      </c>
      <c r="R14" s="88">
        <f t="shared" si="3"/>
        <v>0</v>
      </c>
      <c r="S14" s="88">
        <f t="shared" si="4"/>
        <v>0</v>
      </c>
      <c r="T14" s="3"/>
      <c r="U14" s="3">
        <f t="shared" si="5"/>
        <v>0</v>
      </c>
      <c r="W14" s="49" t="s">
        <v>38</v>
      </c>
      <c r="X14" s="51">
        <f>SUM(T4:T33)</f>
        <v>0</v>
      </c>
      <c r="Y14" s="52"/>
    </row>
    <row r="15" spans="1:28" x14ac:dyDescent="0.25">
      <c r="A15" s="23">
        <v>10</v>
      </c>
      <c r="B15" s="3"/>
      <c r="C15" s="3"/>
      <c r="D15" s="3"/>
      <c r="E15" s="3"/>
      <c r="F15" s="22"/>
      <c r="G15" s="3"/>
      <c r="H15" s="3"/>
      <c r="I15" s="3"/>
      <c r="J15" s="3"/>
      <c r="K15" s="5"/>
      <c r="L15" s="3"/>
      <c r="M15" s="3"/>
      <c r="N15" s="3"/>
      <c r="O15" s="88">
        <f t="shared" si="0"/>
        <v>0</v>
      </c>
      <c r="P15" s="88">
        <f t="shared" si="1"/>
        <v>0</v>
      </c>
      <c r="Q15" s="88">
        <f t="shared" si="2"/>
        <v>0</v>
      </c>
      <c r="R15" s="88">
        <f t="shared" si="3"/>
        <v>0</v>
      </c>
      <c r="S15" s="88">
        <f t="shared" si="4"/>
        <v>0</v>
      </c>
      <c r="T15" s="3"/>
      <c r="U15" s="3">
        <f t="shared" si="5"/>
        <v>0</v>
      </c>
      <c r="W15" s="49" t="s">
        <v>37</v>
      </c>
      <c r="X15" s="55"/>
      <c r="Y15" s="52"/>
    </row>
    <row r="16" spans="1:28" x14ac:dyDescent="0.25">
      <c r="A16" s="23">
        <v>11</v>
      </c>
      <c r="B16" s="3"/>
      <c r="C16" s="3"/>
      <c r="D16" s="3"/>
      <c r="E16" s="3"/>
      <c r="F16" s="3"/>
      <c r="G16" s="3"/>
      <c r="H16" s="3"/>
      <c r="I16" s="3"/>
      <c r="J16" s="3"/>
      <c r="K16" s="5"/>
      <c r="L16" s="3"/>
      <c r="M16" s="3"/>
      <c r="N16" s="3"/>
      <c r="O16" s="88">
        <f t="shared" si="0"/>
        <v>0</v>
      </c>
      <c r="P16" s="88">
        <f t="shared" si="1"/>
        <v>0</v>
      </c>
      <c r="Q16" s="88">
        <f t="shared" si="2"/>
        <v>0</v>
      </c>
      <c r="R16" s="88">
        <f t="shared" si="3"/>
        <v>0</v>
      </c>
      <c r="S16" s="88">
        <f t="shared" si="4"/>
        <v>0</v>
      </c>
      <c r="T16" s="3"/>
      <c r="U16" s="3">
        <f t="shared" si="5"/>
        <v>0</v>
      </c>
      <c r="W16" s="49" t="s">
        <v>35</v>
      </c>
      <c r="X16" s="55"/>
      <c r="Y16" s="52"/>
    </row>
    <row r="17" spans="1:27" x14ac:dyDescent="0.25">
      <c r="A17" s="23">
        <v>12</v>
      </c>
      <c r="B17" s="3"/>
      <c r="C17" s="3"/>
      <c r="D17" s="3"/>
      <c r="E17" s="3"/>
      <c r="F17" s="3"/>
      <c r="G17" s="3"/>
      <c r="H17" s="3"/>
      <c r="I17" s="3"/>
      <c r="J17" s="3"/>
      <c r="K17" s="5"/>
      <c r="L17" s="3"/>
      <c r="M17" s="3"/>
      <c r="N17" s="3"/>
      <c r="O17" s="88">
        <f t="shared" si="0"/>
        <v>0</v>
      </c>
      <c r="P17" s="88">
        <f t="shared" si="1"/>
        <v>0</v>
      </c>
      <c r="Q17" s="88">
        <f t="shared" si="2"/>
        <v>0</v>
      </c>
      <c r="R17" s="88">
        <f t="shared" si="3"/>
        <v>0</v>
      </c>
      <c r="S17" s="88">
        <f t="shared" si="4"/>
        <v>0</v>
      </c>
      <c r="T17" s="3"/>
      <c r="U17" s="3">
        <f t="shared" si="5"/>
        <v>0</v>
      </c>
      <c r="W17" s="49" t="s">
        <v>58</v>
      </c>
      <c r="X17" s="55">
        <v>0</v>
      </c>
      <c r="Y17" s="52"/>
    </row>
    <row r="18" spans="1:27" x14ac:dyDescent="0.25">
      <c r="A18" s="23">
        <v>13</v>
      </c>
      <c r="B18" s="3"/>
      <c r="C18" s="3"/>
      <c r="D18" s="3"/>
      <c r="E18" s="3"/>
      <c r="F18" s="3"/>
      <c r="G18" s="3"/>
      <c r="H18" s="3"/>
      <c r="I18" s="3"/>
      <c r="J18" s="3"/>
      <c r="K18" s="5"/>
      <c r="L18" s="3"/>
      <c r="M18" s="3"/>
      <c r="N18" s="3"/>
      <c r="O18" s="88">
        <f t="shared" si="0"/>
        <v>0</v>
      </c>
      <c r="P18" s="88">
        <f t="shared" si="1"/>
        <v>0</v>
      </c>
      <c r="Q18" s="88">
        <f t="shared" si="2"/>
        <v>0</v>
      </c>
      <c r="R18" s="88">
        <f t="shared" si="3"/>
        <v>0</v>
      </c>
      <c r="S18" s="88">
        <f t="shared" si="4"/>
        <v>0</v>
      </c>
      <c r="T18" s="3"/>
      <c r="U18" s="3">
        <f t="shared" si="5"/>
        <v>0</v>
      </c>
      <c r="W18" s="49" t="s">
        <v>90</v>
      </c>
      <c r="X18" s="55"/>
      <c r="Y18" s="52"/>
    </row>
    <row r="19" spans="1:27" x14ac:dyDescent="0.25">
      <c r="A19" s="23">
        <v>14</v>
      </c>
      <c r="B19" s="3"/>
      <c r="C19" s="3"/>
      <c r="D19" s="3"/>
      <c r="E19" s="3"/>
      <c r="F19" s="3"/>
      <c r="G19" s="3"/>
      <c r="H19" s="3"/>
      <c r="I19" s="3"/>
      <c r="J19" s="3"/>
      <c r="K19" s="5"/>
      <c r="L19" s="3"/>
      <c r="M19" s="3"/>
      <c r="N19" s="3"/>
      <c r="O19" s="88">
        <f t="shared" si="0"/>
        <v>0</v>
      </c>
      <c r="P19" s="88">
        <f t="shared" si="1"/>
        <v>0</v>
      </c>
      <c r="Q19" s="88">
        <f t="shared" si="2"/>
        <v>0</v>
      </c>
      <c r="R19" s="88">
        <f t="shared" si="3"/>
        <v>0</v>
      </c>
      <c r="S19" s="88">
        <f t="shared" si="4"/>
        <v>0</v>
      </c>
      <c r="T19" s="3"/>
      <c r="U19" s="3">
        <f t="shared" si="5"/>
        <v>0</v>
      </c>
      <c r="W19" s="49" t="s">
        <v>91</v>
      </c>
      <c r="X19" s="51">
        <f>(X18*20%)+(-X21*11%)</f>
        <v>0</v>
      </c>
      <c r="Y19" s="52"/>
    </row>
    <row r="20" spans="1:27" x14ac:dyDescent="0.25">
      <c r="A20" s="23">
        <v>15</v>
      </c>
      <c r="B20" s="3"/>
      <c r="C20" s="3"/>
      <c r="D20" s="3"/>
      <c r="E20" s="3"/>
      <c r="F20" s="3"/>
      <c r="G20" s="3"/>
      <c r="H20" s="3"/>
      <c r="I20" s="3"/>
      <c r="J20" s="3"/>
      <c r="K20" s="5"/>
      <c r="L20" s="3"/>
      <c r="M20" s="3"/>
      <c r="N20" s="3"/>
      <c r="O20" s="88">
        <f t="shared" si="0"/>
        <v>0</v>
      </c>
      <c r="P20" s="88">
        <f t="shared" si="1"/>
        <v>0</v>
      </c>
      <c r="Q20" s="88">
        <f t="shared" si="2"/>
        <v>0</v>
      </c>
      <c r="R20" s="88">
        <f t="shared" si="3"/>
        <v>0</v>
      </c>
      <c r="S20" s="88">
        <f t="shared" si="4"/>
        <v>0</v>
      </c>
      <c r="T20" s="3"/>
      <c r="U20" s="3">
        <f t="shared" si="5"/>
        <v>0</v>
      </c>
      <c r="W20" s="49" t="s">
        <v>42</v>
      </c>
      <c r="X20" s="55"/>
      <c r="Y20" s="52"/>
    </row>
    <row r="21" spans="1:27" ht="15.75" thickBot="1" x14ac:dyDescent="0.3">
      <c r="A21" s="23">
        <v>16</v>
      </c>
      <c r="B21" s="3"/>
      <c r="C21" s="3"/>
      <c r="D21" s="3"/>
      <c r="E21" s="3"/>
      <c r="F21" s="3"/>
      <c r="G21" s="3"/>
      <c r="H21" s="3"/>
      <c r="I21" s="3"/>
      <c r="J21" s="3"/>
      <c r="K21" s="5"/>
      <c r="L21" s="3"/>
      <c r="M21" s="3"/>
      <c r="N21" s="3"/>
      <c r="O21" s="88">
        <f t="shared" si="0"/>
        <v>0</v>
      </c>
      <c r="P21" s="88">
        <f t="shared" si="1"/>
        <v>0</v>
      </c>
      <c r="Q21" s="88">
        <f t="shared" si="2"/>
        <v>0</v>
      </c>
      <c r="R21" s="88">
        <f t="shared" si="3"/>
        <v>0</v>
      </c>
      <c r="S21" s="88">
        <f t="shared" si="4"/>
        <v>0</v>
      </c>
      <c r="T21" s="3"/>
      <c r="U21" s="3">
        <f t="shared" si="5"/>
        <v>0</v>
      </c>
      <c r="W21" s="50" t="s">
        <v>43</v>
      </c>
      <c r="X21" s="56">
        <f>X3+X5+X6+X9+X10+X12+X13+X15+X16+X17+X18+X20+X7</f>
        <v>0</v>
      </c>
      <c r="Y21" s="35">
        <f>Y3+Y5+Y6+Y7+Y9+Y10+Y12+Y13+Y15+Y16+Y17+Y18+Y20</f>
        <v>0</v>
      </c>
      <c r="Z21" s="1"/>
      <c r="AA21" s="1"/>
    </row>
    <row r="22" spans="1:27" ht="15.75" thickBot="1" x14ac:dyDescent="0.3">
      <c r="A22" s="23">
        <v>17</v>
      </c>
      <c r="B22" s="3"/>
      <c r="C22" s="3"/>
      <c r="D22" s="3"/>
      <c r="E22" s="3"/>
      <c r="F22" s="3"/>
      <c r="G22" s="3"/>
      <c r="H22" s="3"/>
      <c r="I22" s="3"/>
      <c r="J22" s="3"/>
      <c r="K22" s="5"/>
      <c r="L22" s="3"/>
      <c r="M22" s="3"/>
      <c r="N22" s="3"/>
      <c r="O22" s="88">
        <f t="shared" si="0"/>
        <v>0</v>
      </c>
      <c r="P22" s="88">
        <f t="shared" si="1"/>
        <v>0</v>
      </c>
      <c r="Q22" s="88">
        <f t="shared" si="2"/>
        <v>0</v>
      </c>
      <c r="R22" s="88">
        <f t="shared" si="3"/>
        <v>0</v>
      </c>
      <c r="S22" s="88">
        <f t="shared" si="4"/>
        <v>0</v>
      </c>
      <c r="T22" s="3"/>
      <c r="U22" s="3">
        <f t="shared" si="5"/>
        <v>0</v>
      </c>
      <c r="W22" s="50" t="s">
        <v>92</v>
      </c>
      <c r="X22" s="56">
        <f>X3+X5+X6+X7+X9+X10+X12+X13+X14+X15+X16+X17+X18+X19+X20</f>
        <v>0</v>
      </c>
      <c r="Y22" s="35">
        <f>Y3+Y5+Y6+Y7+Y9+Y10+Y12+Y13+Y15+Y16+Y17+Y18+Y19+Y20</f>
        <v>0</v>
      </c>
    </row>
    <row r="23" spans="1:27" x14ac:dyDescent="0.25">
      <c r="A23" s="23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88">
        <f t="shared" si="0"/>
        <v>0</v>
      </c>
      <c r="P23" s="88">
        <f t="shared" si="1"/>
        <v>0</v>
      </c>
      <c r="Q23" s="88">
        <f t="shared" si="2"/>
        <v>0</v>
      </c>
      <c r="R23" s="88">
        <f t="shared" si="3"/>
        <v>0</v>
      </c>
      <c r="S23" s="88">
        <f t="shared" si="4"/>
        <v>0</v>
      </c>
      <c r="T23" s="3"/>
      <c r="U23" s="3">
        <f t="shared" si="5"/>
        <v>0</v>
      </c>
    </row>
    <row r="24" spans="1:27" x14ac:dyDescent="0.25">
      <c r="A24" s="23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88">
        <f t="shared" si="0"/>
        <v>0</v>
      </c>
      <c r="P24" s="88">
        <f t="shared" si="1"/>
        <v>0</v>
      </c>
      <c r="Q24" s="88">
        <f t="shared" si="2"/>
        <v>0</v>
      </c>
      <c r="R24" s="88">
        <f t="shared" si="3"/>
        <v>0</v>
      </c>
      <c r="S24" s="88">
        <f t="shared" si="4"/>
        <v>0</v>
      </c>
      <c r="T24" s="3"/>
      <c r="U24" s="3">
        <f t="shared" si="5"/>
        <v>0</v>
      </c>
      <c r="W24" s="13" t="s">
        <v>44</v>
      </c>
      <c r="X24" s="36">
        <f>X6+X5+X14+X13</f>
        <v>0</v>
      </c>
      <c r="Y24" s="14"/>
    </row>
    <row r="25" spans="1:27" x14ac:dyDescent="0.25">
      <c r="A25" s="23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88">
        <f t="shared" si="0"/>
        <v>0</v>
      </c>
      <c r="P25" s="88">
        <f t="shared" si="1"/>
        <v>0</v>
      </c>
      <c r="Q25" s="88">
        <f t="shared" si="2"/>
        <v>0</v>
      </c>
      <c r="R25" s="88">
        <f t="shared" si="3"/>
        <v>0</v>
      </c>
      <c r="S25" s="88">
        <f t="shared" si="4"/>
        <v>0</v>
      </c>
      <c r="T25" s="3"/>
      <c r="U25" s="3">
        <f t="shared" si="5"/>
        <v>0</v>
      </c>
    </row>
    <row r="26" spans="1:27" x14ac:dyDescent="0.25">
      <c r="A26" s="23">
        <v>21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88">
        <f t="shared" si="0"/>
        <v>0</v>
      </c>
      <c r="P26" s="88">
        <f t="shared" si="1"/>
        <v>0</v>
      </c>
      <c r="Q26" s="88">
        <f t="shared" si="2"/>
        <v>0</v>
      </c>
      <c r="R26" s="88">
        <f t="shared" si="3"/>
        <v>0</v>
      </c>
      <c r="S26" s="88">
        <f t="shared" si="4"/>
        <v>0</v>
      </c>
      <c r="T26" s="3"/>
      <c r="U26" s="3">
        <f t="shared" si="5"/>
        <v>0</v>
      </c>
      <c r="W26" s="1"/>
    </row>
    <row r="27" spans="1:27" x14ac:dyDescent="0.25">
      <c r="A27" s="23">
        <v>22</v>
      </c>
      <c r="B27" s="3"/>
      <c r="C27" s="3"/>
      <c r="D27" s="3"/>
      <c r="E27" s="3"/>
      <c r="F27" s="22"/>
      <c r="G27" s="3"/>
      <c r="H27" s="3"/>
      <c r="I27" s="3"/>
      <c r="J27" s="3"/>
      <c r="K27" s="5"/>
      <c r="L27" s="3"/>
      <c r="M27" s="3"/>
      <c r="N27" s="3"/>
      <c r="O27" s="88">
        <f t="shared" si="0"/>
        <v>0</v>
      </c>
      <c r="P27" s="88">
        <f t="shared" si="1"/>
        <v>0</v>
      </c>
      <c r="Q27" s="88">
        <f t="shared" si="2"/>
        <v>0</v>
      </c>
      <c r="R27" s="88">
        <f t="shared" si="3"/>
        <v>0</v>
      </c>
      <c r="S27" s="88">
        <f t="shared" si="4"/>
        <v>0</v>
      </c>
      <c r="T27" s="3"/>
      <c r="U27" s="3">
        <f t="shared" si="5"/>
        <v>0</v>
      </c>
      <c r="W27" s="11" t="s">
        <v>45</v>
      </c>
      <c r="X27" s="42">
        <f>(X22*X30)</f>
        <v>0</v>
      </c>
      <c r="Y27" s="12">
        <f>Y22*50%</f>
        <v>0</v>
      </c>
    </row>
    <row r="28" spans="1:27" x14ac:dyDescent="0.25">
      <c r="A28" s="23">
        <v>23</v>
      </c>
      <c r="B28" s="3"/>
      <c r="C28" s="3"/>
      <c r="D28" s="3"/>
      <c r="E28" s="3"/>
      <c r="F28" s="22"/>
      <c r="G28" s="3"/>
      <c r="H28" s="3"/>
      <c r="I28" s="3"/>
      <c r="J28" s="3"/>
      <c r="K28" s="5"/>
      <c r="L28" s="3"/>
      <c r="M28" s="3"/>
      <c r="N28" s="3"/>
      <c r="O28" s="88">
        <f t="shared" si="0"/>
        <v>0</v>
      </c>
      <c r="P28" s="88">
        <f t="shared" si="1"/>
        <v>0</v>
      </c>
      <c r="Q28" s="88">
        <f t="shared" si="2"/>
        <v>0</v>
      </c>
      <c r="R28" s="88">
        <f t="shared" si="3"/>
        <v>0</v>
      </c>
      <c r="S28" s="88">
        <f t="shared" si="4"/>
        <v>0</v>
      </c>
      <c r="T28" s="3"/>
      <c r="U28" s="3">
        <f t="shared" si="5"/>
        <v>0</v>
      </c>
      <c r="W28" s="11" t="s">
        <v>46</v>
      </c>
      <c r="X28" s="42">
        <f>X22*X31</f>
        <v>0</v>
      </c>
      <c r="Y28" s="12">
        <f>Y22*X31</f>
        <v>0</v>
      </c>
    </row>
    <row r="29" spans="1:27" ht="15.75" thickBot="1" x14ac:dyDescent="0.3">
      <c r="A29" s="23">
        <v>24</v>
      </c>
      <c r="B29" s="3"/>
      <c r="C29" s="3"/>
      <c r="D29" s="3"/>
      <c r="E29" s="3"/>
      <c r="F29" s="22"/>
      <c r="G29" s="3"/>
      <c r="H29" s="3"/>
      <c r="I29" s="3"/>
      <c r="J29" s="3"/>
      <c r="K29" s="5"/>
      <c r="L29" s="3"/>
      <c r="M29" s="3"/>
      <c r="N29" s="3"/>
      <c r="O29" s="88">
        <f t="shared" si="0"/>
        <v>0</v>
      </c>
      <c r="P29" s="88">
        <f t="shared" si="1"/>
        <v>0</v>
      </c>
      <c r="Q29" s="88">
        <f t="shared" si="2"/>
        <v>0</v>
      </c>
      <c r="R29" s="88">
        <f t="shared" si="3"/>
        <v>0</v>
      </c>
      <c r="S29" s="88">
        <f t="shared" si="4"/>
        <v>0</v>
      </c>
      <c r="T29" s="3"/>
      <c r="U29" s="3">
        <f t="shared" si="5"/>
        <v>0</v>
      </c>
      <c r="Y29" s="1"/>
    </row>
    <row r="30" spans="1:27" ht="15.75" thickBot="1" x14ac:dyDescent="0.3">
      <c r="A30" s="23">
        <v>25</v>
      </c>
      <c r="B30" s="3"/>
      <c r="C30" s="3"/>
      <c r="D30" s="3"/>
      <c r="E30" s="3"/>
      <c r="F30" s="22"/>
      <c r="G30" s="3"/>
      <c r="H30" s="3"/>
      <c r="I30" s="3"/>
      <c r="J30" s="3"/>
      <c r="K30" s="5"/>
      <c r="L30" s="5"/>
      <c r="M30" s="3"/>
      <c r="N30" s="3"/>
      <c r="O30" s="88">
        <f t="shared" si="0"/>
        <v>0</v>
      </c>
      <c r="P30" s="88">
        <f t="shared" si="1"/>
        <v>0</v>
      </c>
      <c r="Q30" s="88">
        <f t="shared" si="2"/>
        <v>0</v>
      </c>
      <c r="R30" s="88">
        <f t="shared" si="3"/>
        <v>0</v>
      </c>
      <c r="S30" s="88">
        <f t="shared" si="4"/>
        <v>0</v>
      </c>
      <c r="T30" s="3"/>
      <c r="U30" s="3">
        <f t="shared" si="5"/>
        <v>0</v>
      </c>
      <c r="W30" s="46" t="s">
        <v>73</v>
      </c>
      <c r="X30" s="47">
        <v>0.5</v>
      </c>
    </row>
    <row r="31" spans="1:27" ht="15.75" thickBot="1" x14ac:dyDescent="0.3">
      <c r="A31" s="23">
        <v>26</v>
      </c>
      <c r="B31" s="3"/>
      <c r="C31" s="3"/>
      <c r="D31" s="3"/>
      <c r="E31" s="3"/>
      <c r="F31" s="22"/>
      <c r="G31" s="3"/>
      <c r="H31" s="3"/>
      <c r="I31" s="3"/>
      <c r="J31" s="3"/>
      <c r="K31" s="5"/>
      <c r="L31" s="3"/>
      <c r="M31" s="3"/>
      <c r="N31" s="3"/>
      <c r="O31" s="88">
        <f t="shared" si="0"/>
        <v>0</v>
      </c>
      <c r="P31" s="88">
        <f t="shared" si="1"/>
        <v>0</v>
      </c>
      <c r="Q31" s="88">
        <f t="shared" si="2"/>
        <v>0</v>
      </c>
      <c r="R31" s="88">
        <f t="shared" si="3"/>
        <v>0</v>
      </c>
      <c r="S31" s="88">
        <f t="shared" si="4"/>
        <v>0</v>
      </c>
      <c r="T31" s="3"/>
      <c r="U31" s="3">
        <f t="shared" si="5"/>
        <v>0</v>
      </c>
      <c r="W31" s="46" t="s">
        <v>46</v>
      </c>
      <c r="X31" s="48">
        <v>0.5</v>
      </c>
      <c r="Z31" s="118"/>
      <c r="AA31" s="119"/>
    </row>
    <row r="32" spans="1:27" ht="15.75" thickBot="1" x14ac:dyDescent="0.3">
      <c r="A32" s="23">
        <v>27</v>
      </c>
      <c r="B32" s="3"/>
      <c r="C32" s="3"/>
      <c r="D32" s="3"/>
      <c r="E32" s="3"/>
      <c r="F32" s="22"/>
      <c r="G32" s="3"/>
      <c r="H32" s="3"/>
      <c r="I32" s="3"/>
      <c r="J32" s="3"/>
      <c r="K32" s="5"/>
      <c r="L32" s="3"/>
      <c r="M32" s="3"/>
      <c r="N32" s="3"/>
      <c r="O32" s="88">
        <f t="shared" si="0"/>
        <v>0</v>
      </c>
      <c r="P32" s="88">
        <f t="shared" si="1"/>
        <v>0</v>
      </c>
      <c r="Q32" s="88">
        <f t="shared" si="2"/>
        <v>0</v>
      </c>
      <c r="R32" s="88">
        <f t="shared" si="3"/>
        <v>0</v>
      </c>
      <c r="S32" s="88">
        <f t="shared" si="4"/>
        <v>0</v>
      </c>
      <c r="T32" s="3"/>
      <c r="U32" s="3">
        <f t="shared" si="5"/>
        <v>0</v>
      </c>
      <c r="W32" s="1"/>
      <c r="X32" s="40"/>
      <c r="Y32" s="117" t="s">
        <v>71</v>
      </c>
      <c r="Z32" s="44"/>
      <c r="AA32" s="45"/>
    </row>
    <row r="33" spans="1:28" s="1" customFormat="1" ht="15.75" thickBot="1" x14ac:dyDescent="0.3">
      <c r="A33" s="23">
        <v>28</v>
      </c>
      <c r="B33" s="3"/>
      <c r="C33" s="3"/>
      <c r="D33" s="3"/>
      <c r="E33" s="3"/>
      <c r="F33" s="22"/>
      <c r="G33" s="3"/>
      <c r="H33" s="3"/>
      <c r="I33" s="3"/>
      <c r="J33" s="3"/>
      <c r="K33" s="5"/>
      <c r="L33" s="3"/>
      <c r="M33" s="3"/>
      <c r="N33" s="3"/>
      <c r="O33" s="88">
        <f t="shared" si="0"/>
        <v>0</v>
      </c>
      <c r="P33" s="88">
        <f t="shared" si="1"/>
        <v>0</v>
      </c>
      <c r="Q33" s="88">
        <f t="shared" si="2"/>
        <v>0</v>
      </c>
      <c r="R33" s="88">
        <f t="shared" si="3"/>
        <v>0</v>
      </c>
      <c r="S33" s="88">
        <f t="shared" si="4"/>
        <v>0</v>
      </c>
      <c r="T33" s="3"/>
      <c r="U33" s="3">
        <f t="shared" si="5"/>
        <v>0</v>
      </c>
      <c r="V33" s="6"/>
      <c r="X33" s="41"/>
      <c r="Y33" s="43" t="s">
        <v>72</v>
      </c>
      <c r="Z33" s="6"/>
      <c r="AA33" s="6"/>
      <c r="AB33" s="6"/>
    </row>
    <row r="34" spans="1:28" s="1" customFormat="1" x14ac:dyDescent="0.25">
      <c r="A34" s="23">
        <v>29</v>
      </c>
      <c r="B34" s="3"/>
      <c r="C34" s="3"/>
      <c r="D34" s="3"/>
      <c r="E34" s="3"/>
      <c r="F34" s="22"/>
      <c r="G34" s="3"/>
      <c r="H34" s="3"/>
      <c r="I34" s="3"/>
      <c r="J34" s="3"/>
      <c r="K34" s="5"/>
      <c r="L34" s="3"/>
      <c r="M34" s="3"/>
      <c r="N34" s="3"/>
      <c r="O34" s="88">
        <f t="shared" si="0"/>
        <v>0</v>
      </c>
      <c r="P34" s="88">
        <f t="shared" si="1"/>
        <v>0</v>
      </c>
      <c r="Q34" s="88">
        <f t="shared" si="2"/>
        <v>0</v>
      </c>
      <c r="R34" s="88">
        <f t="shared" si="3"/>
        <v>0</v>
      </c>
      <c r="S34" s="88">
        <f t="shared" si="4"/>
        <v>0</v>
      </c>
      <c r="T34" s="3"/>
      <c r="U34" s="3">
        <f t="shared" si="5"/>
        <v>0</v>
      </c>
      <c r="V34" s="6"/>
      <c r="W34" s="6"/>
      <c r="Y34" s="6"/>
      <c r="Z34" s="6"/>
      <c r="AA34" s="6"/>
      <c r="AB34" s="6"/>
    </row>
    <row r="35" spans="1:28" s="1" customFormat="1" x14ac:dyDescent="0.25">
      <c r="A35" s="20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Y35" s="6"/>
      <c r="Z35" s="6"/>
      <c r="AA35" s="6"/>
      <c r="AB35" s="6"/>
    </row>
    <row r="36" spans="1:28" s="1" customFormat="1" x14ac:dyDescent="0.25">
      <c r="A36" s="139" t="s">
        <v>47</v>
      </c>
      <c r="B36" s="139"/>
      <c r="C36" s="21">
        <f>SUM(C4:C34)</f>
        <v>0</v>
      </c>
      <c r="D36" s="21">
        <f t="shared" ref="D36:I36" si="6">SUM(D4:D34)</f>
        <v>0</v>
      </c>
      <c r="E36" s="21">
        <f t="shared" si="6"/>
        <v>0</v>
      </c>
      <c r="F36" s="21">
        <f t="shared" si="6"/>
        <v>0</v>
      </c>
      <c r="G36" s="21">
        <f t="shared" si="6"/>
        <v>0</v>
      </c>
      <c r="H36" s="21">
        <f t="shared" si="6"/>
        <v>0</v>
      </c>
      <c r="I36" s="21">
        <f t="shared" si="6"/>
        <v>0</v>
      </c>
      <c r="J36" s="18"/>
      <c r="K36" s="1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Y36" s="6"/>
      <c r="Z36" s="6"/>
      <c r="AA36" s="6"/>
      <c r="AB36" s="6"/>
    </row>
    <row r="37" spans="1:28" s="1" customFormat="1" x14ac:dyDescent="0.25">
      <c r="A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Y37" s="6"/>
      <c r="Z37" s="6"/>
      <c r="AA37" s="6"/>
      <c r="AB37" s="6"/>
    </row>
    <row r="38" spans="1:28" s="1" customFormat="1" x14ac:dyDescent="0.25">
      <c r="A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Y38" s="6"/>
      <c r="Z38" s="6"/>
      <c r="AA38" s="6"/>
      <c r="AB38" s="6"/>
    </row>
    <row r="39" spans="1:28" s="1" customFormat="1" x14ac:dyDescent="0.25">
      <c r="A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Y39" s="6"/>
      <c r="Z39" s="6"/>
      <c r="AA39" s="6"/>
      <c r="AB39" s="6"/>
    </row>
    <row r="464" spans="25:25" x14ac:dyDescent="0.25">
      <c r="Y464" s="1"/>
    </row>
  </sheetData>
  <mergeCells count="2">
    <mergeCell ref="A1:U2"/>
    <mergeCell ref="A36:B36"/>
  </mergeCells>
  <pageMargins left="0.7" right="0.7" top="0.75" bottom="0.75" header="0.3" footer="0.3"/>
  <pageSetup paperSize="2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45F4-67D5-45A5-984B-360049AEDD9F}">
  <dimension ref="A1:AB464"/>
  <sheetViews>
    <sheetView topLeftCell="L1" workbookViewId="0">
      <selection activeCell="X5" sqref="X5"/>
    </sheetView>
  </sheetViews>
  <sheetFormatPr defaultRowHeight="15" x14ac:dyDescent="0.25"/>
  <cols>
    <col min="1" max="1" width="4.28515625" style="6" bestFit="1" customWidth="1"/>
    <col min="2" max="2" width="15.28515625" style="1" bestFit="1" customWidth="1"/>
    <col min="3" max="3" width="15.85546875" style="6" bestFit="1" customWidth="1"/>
    <col min="4" max="4" width="16.85546875" style="6" bestFit="1" customWidth="1"/>
    <col min="5" max="9" width="16.85546875" style="6" customWidth="1"/>
    <col min="10" max="10" width="14.28515625" style="6" bestFit="1" customWidth="1"/>
    <col min="11" max="12" width="10.7109375" style="6" bestFit="1" customWidth="1"/>
    <col min="13" max="13" width="12.5703125" style="6" bestFit="1" customWidth="1"/>
    <col min="14" max="14" width="12.5703125" style="6" customWidth="1"/>
    <col min="15" max="15" width="9.42578125" style="6" bestFit="1" customWidth="1"/>
    <col min="16" max="16" width="11.28515625" style="6" bestFit="1" customWidth="1"/>
    <col min="17" max="17" width="15.140625" style="6" bestFit="1" customWidth="1"/>
    <col min="18" max="19" width="8.28515625" style="6" bestFit="1" customWidth="1"/>
    <col min="20" max="20" width="14.5703125" style="6" bestFit="1" customWidth="1"/>
    <col min="21" max="21" width="19" style="6" bestFit="1" customWidth="1"/>
    <col min="22" max="22" width="15.85546875" style="6" customWidth="1"/>
    <col min="23" max="23" width="28.85546875" style="6" bestFit="1" customWidth="1"/>
    <col min="24" max="24" width="11.7109375" style="1" bestFit="1" customWidth="1"/>
    <col min="25" max="25" width="10.7109375" style="6" bestFit="1" customWidth="1"/>
    <col min="26" max="26" width="15.28515625" style="6" bestFit="1" customWidth="1"/>
    <col min="27" max="27" width="21.7109375" style="6" bestFit="1" customWidth="1"/>
    <col min="28" max="28" width="15.85546875" style="6" customWidth="1"/>
    <col min="29" max="16384" width="9.140625" style="6"/>
  </cols>
  <sheetData>
    <row r="1" spans="1:28" ht="15.75" thickBot="1" x14ac:dyDescent="0.3">
      <c r="A1" s="138" t="s">
        <v>65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</row>
    <row r="2" spans="1:28" x14ac:dyDescent="0.25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W2" s="62"/>
      <c r="X2" s="63" t="s">
        <v>49</v>
      </c>
      <c r="Y2" s="64" t="s">
        <v>50</v>
      </c>
    </row>
    <row r="3" spans="1:28" x14ac:dyDescent="0.25">
      <c r="A3" s="9" t="s">
        <v>21</v>
      </c>
      <c r="B3" s="7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9" t="s">
        <v>31</v>
      </c>
      <c r="L3" s="8" t="s">
        <v>32</v>
      </c>
      <c r="M3" s="8" t="s">
        <v>33</v>
      </c>
      <c r="N3" s="8" t="s">
        <v>94</v>
      </c>
      <c r="O3" s="8" t="s">
        <v>34</v>
      </c>
      <c r="P3" s="8" t="s">
        <v>58</v>
      </c>
      <c r="Q3" s="8" t="s">
        <v>35</v>
      </c>
      <c r="R3" s="8" t="s">
        <v>36</v>
      </c>
      <c r="S3" s="8" t="s">
        <v>37</v>
      </c>
      <c r="T3" s="8" t="s">
        <v>38</v>
      </c>
      <c r="U3" s="9" t="s">
        <v>39</v>
      </c>
      <c r="W3" s="49" t="s">
        <v>17</v>
      </c>
      <c r="X3" s="51">
        <f>SUM(C35:I35)</f>
        <v>0</v>
      </c>
      <c r="Y3" s="51"/>
      <c r="AA3" s="60" t="s">
        <v>75</v>
      </c>
      <c r="AB3" s="60" t="s">
        <v>74</v>
      </c>
    </row>
    <row r="4" spans="1:28" x14ac:dyDescent="0.25">
      <c r="A4" s="23">
        <v>30</v>
      </c>
      <c r="B4" s="19"/>
      <c r="C4" s="4"/>
      <c r="D4" s="4"/>
      <c r="E4" s="4"/>
      <c r="F4" s="4"/>
      <c r="G4" s="4"/>
      <c r="H4" s="4"/>
      <c r="I4" s="4"/>
      <c r="J4" s="4"/>
      <c r="K4" s="10"/>
      <c r="L4" s="3"/>
      <c r="M4" s="3"/>
      <c r="N4" s="3"/>
      <c r="O4" s="88">
        <f>$X$18/30</f>
        <v>0</v>
      </c>
      <c r="P4" s="88">
        <f>$X$17/30</f>
        <v>0</v>
      </c>
      <c r="Q4" s="88">
        <f>$X$16/30</f>
        <v>0</v>
      </c>
      <c r="R4" s="88">
        <f>$X$19/30</f>
        <v>0</v>
      </c>
      <c r="S4" s="88">
        <f>$X$15/30</f>
        <v>0</v>
      </c>
      <c r="T4" s="3"/>
      <c r="U4" s="3">
        <f>C4+B4+K4+L4+M4+O4+P4+Q4+R4+S4+T4+D4+E4+F4+G4+I4+H4</f>
        <v>0</v>
      </c>
      <c r="W4" s="49" t="s">
        <v>40</v>
      </c>
      <c r="X4" s="53">
        <v>0.04</v>
      </c>
      <c r="Y4" s="53"/>
      <c r="AA4" s="58" t="str">
        <f>IFERROR(-(X3/(X6+X7)),"")</f>
        <v/>
      </c>
      <c r="AB4" s="59" t="str">
        <f>IF($AA$4 &gt; 12, "⭐ Excelente", IF($AA$4 &gt;= 6, "✅ Saudável", IF($AA$4 &lt; 5, "🛑 Perigo", "⚠️ Atenção")))</f>
        <v>⭐ Excelente</v>
      </c>
    </row>
    <row r="5" spans="1:28" x14ac:dyDescent="0.25">
      <c r="A5" s="23">
        <v>31</v>
      </c>
      <c r="B5" s="19"/>
      <c r="C5" s="3"/>
      <c r="D5" s="3"/>
      <c r="E5" s="3"/>
      <c r="F5" s="3"/>
      <c r="G5" s="3"/>
      <c r="H5" s="3"/>
      <c r="I5" s="3"/>
      <c r="J5" s="3"/>
      <c r="K5" s="5"/>
      <c r="L5" s="3"/>
      <c r="M5" s="3"/>
      <c r="N5" s="3"/>
      <c r="O5" s="88">
        <f t="shared" ref="O5:O34" si="0">$X$18/30</f>
        <v>0</v>
      </c>
      <c r="P5" s="88">
        <f t="shared" ref="P5:P34" si="1">$X$17/30</f>
        <v>0</v>
      </c>
      <c r="Q5" s="88">
        <f t="shared" ref="Q5:Q34" si="2">$X$16/30</f>
        <v>0</v>
      </c>
      <c r="R5" s="88">
        <f t="shared" ref="R5:R34" si="3">$X$19/30</f>
        <v>0</v>
      </c>
      <c r="S5" s="88">
        <f t="shared" ref="S5:S34" si="4">$X$15/30</f>
        <v>0</v>
      </c>
      <c r="T5" s="3"/>
      <c r="U5" s="3">
        <f t="shared" ref="U5:U34" si="5">C5+B5+K5+L5+M5+O5+P5+Q5+R5+S5+T5+D5+E5+F5+G5+I5+H5</f>
        <v>0</v>
      </c>
      <c r="W5" s="49" t="s">
        <v>51</v>
      </c>
      <c r="X5" s="51">
        <f>SUM(B4:B33)</f>
        <v>0</v>
      </c>
      <c r="Y5" s="52"/>
      <c r="Z5" s="1"/>
      <c r="AB5" s="1"/>
    </row>
    <row r="6" spans="1:28" x14ac:dyDescent="0.25">
      <c r="A6" s="23">
        <v>1</v>
      </c>
      <c r="B6" s="19"/>
      <c r="C6" s="3"/>
      <c r="D6" s="3"/>
      <c r="E6" s="3"/>
      <c r="F6" s="3"/>
      <c r="G6" s="3"/>
      <c r="H6" s="3"/>
      <c r="I6" s="3"/>
      <c r="J6" s="3"/>
      <c r="K6" s="5"/>
      <c r="L6" s="3"/>
      <c r="M6" s="3"/>
      <c r="N6" s="3"/>
      <c r="O6" s="88">
        <f t="shared" si="0"/>
        <v>0</v>
      </c>
      <c r="P6" s="88">
        <f t="shared" si="1"/>
        <v>0</v>
      </c>
      <c r="Q6" s="88">
        <f t="shared" si="2"/>
        <v>0</v>
      </c>
      <c r="R6" s="88">
        <f t="shared" si="3"/>
        <v>0</v>
      </c>
      <c r="S6" s="88">
        <f t="shared" si="4"/>
        <v>0</v>
      </c>
      <c r="T6" s="3"/>
      <c r="U6" s="3">
        <f t="shared" si="5"/>
        <v>0</v>
      </c>
      <c r="W6" s="49" t="s">
        <v>52</v>
      </c>
      <c r="X6" s="51">
        <f>SUM(K4:K33)</f>
        <v>0</v>
      </c>
      <c r="Y6" s="52"/>
      <c r="AA6" s="95" t="s">
        <v>86</v>
      </c>
      <c r="AB6" s="94" t="str">
        <f>IFERROR(ABS(SUM(X14:X19)) / ((X3 - ABS(SUM(X5:X12))) / X3), "")</f>
        <v/>
      </c>
    </row>
    <row r="7" spans="1:28" x14ac:dyDescent="0.25">
      <c r="A7" s="23">
        <v>2</v>
      </c>
      <c r="B7" s="3"/>
      <c r="C7" s="3"/>
      <c r="D7" s="3"/>
      <c r="E7" s="3"/>
      <c r="F7" s="3"/>
      <c r="G7" s="3"/>
      <c r="H7" s="3"/>
      <c r="I7" s="3"/>
      <c r="J7" s="3"/>
      <c r="K7" s="5"/>
      <c r="L7" s="3"/>
      <c r="M7" s="3"/>
      <c r="N7" s="3"/>
      <c r="O7" s="88">
        <f t="shared" si="0"/>
        <v>0</v>
      </c>
      <c r="P7" s="88">
        <f t="shared" si="1"/>
        <v>0</v>
      </c>
      <c r="Q7" s="88">
        <f t="shared" si="2"/>
        <v>0</v>
      </c>
      <c r="R7" s="88">
        <f t="shared" si="3"/>
        <v>0</v>
      </c>
      <c r="S7" s="88">
        <f t="shared" si="4"/>
        <v>0</v>
      </c>
      <c r="T7" s="3"/>
      <c r="U7" s="3">
        <f t="shared" si="5"/>
        <v>0</v>
      </c>
      <c r="W7" s="49" t="s">
        <v>53</v>
      </c>
      <c r="X7" s="55"/>
      <c r="Y7" s="55"/>
    </row>
    <row r="8" spans="1:28" x14ac:dyDescent="0.25">
      <c r="A8" s="23">
        <v>3</v>
      </c>
      <c r="B8" s="3"/>
      <c r="C8" s="3"/>
      <c r="D8" s="3"/>
      <c r="E8" s="3"/>
      <c r="F8" s="3"/>
      <c r="G8" s="3"/>
      <c r="H8" s="3"/>
      <c r="I8" s="3"/>
      <c r="J8" s="3"/>
      <c r="K8" s="5"/>
      <c r="L8" s="3"/>
      <c r="M8" s="3"/>
      <c r="N8" s="3"/>
      <c r="O8" s="88">
        <f t="shared" si="0"/>
        <v>0</v>
      </c>
      <c r="P8" s="88">
        <f t="shared" si="1"/>
        <v>0</v>
      </c>
      <c r="Q8" s="88">
        <f t="shared" si="2"/>
        <v>0</v>
      </c>
      <c r="R8" s="88">
        <f t="shared" si="3"/>
        <v>0</v>
      </c>
      <c r="S8" s="88">
        <f t="shared" si="4"/>
        <v>0</v>
      </c>
      <c r="T8" s="3"/>
      <c r="U8" s="3">
        <f t="shared" si="5"/>
        <v>0</v>
      </c>
      <c r="W8" s="49" t="s">
        <v>41</v>
      </c>
      <c r="X8" s="51">
        <f>(SUM(J4:J33))/31</f>
        <v>0</v>
      </c>
      <c r="Y8" s="51"/>
    </row>
    <row r="9" spans="1:28" x14ac:dyDescent="0.25">
      <c r="A9" s="23">
        <v>4</v>
      </c>
      <c r="B9" s="3"/>
      <c r="C9" s="3"/>
      <c r="D9" s="3"/>
      <c r="E9" s="3"/>
      <c r="F9" s="3"/>
      <c r="G9" s="3"/>
      <c r="H9" s="3"/>
      <c r="I9" s="3"/>
      <c r="J9" s="3"/>
      <c r="K9" s="5"/>
      <c r="L9" s="3"/>
      <c r="M9" s="3"/>
      <c r="N9" s="3"/>
      <c r="O9" s="88">
        <f t="shared" si="0"/>
        <v>0</v>
      </c>
      <c r="P9" s="88">
        <f t="shared" si="1"/>
        <v>0</v>
      </c>
      <c r="Q9" s="88">
        <f t="shared" si="2"/>
        <v>0</v>
      </c>
      <c r="R9" s="88">
        <f t="shared" si="3"/>
        <v>0</v>
      </c>
      <c r="S9" s="88">
        <f t="shared" si="4"/>
        <v>0</v>
      </c>
      <c r="T9" s="3"/>
      <c r="U9" s="3">
        <f t="shared" si="5"/>
        <v>0</v>
      </c>
      <c r="W9" s="49" t="s">
        <v>54</v>
      </c>
      <c r="X9" s="51">
        <f>SUM(L4:L33)</f>
        <v>0</v>
      </c>
      <c r="Y9" s="52"/>
    </row>
    <row r="10" spans="1:28" x14ac:dyDescent="0.25">
      <c r="A10" s="23">
        <v>5</v>
      </c>
      <c r="B10" s="3"/>
      <c r="C10" s="3"/>
      <c r="D10" s="3"/>
      <c r="E10" s="3"/>
      <c r="F10" s="3"/>
      <c r="G10" s="3"/>
      <c r="H10" s="3"/>
      <c r="I10" s="3"/>
      <c r="J10" s="3"/>
      <c r="K10" s="5"/>
      <c r="L10" s="3"/>
      <c r="M10" s="3"/>
      <c r="N10" s="3"/>
      <c r="O10" s="88">
        <f t="shared" si="0"/>
        <v>0</v>
      </c>
      <c r="P10" s="88">
        <f t="shared" si="1"/>
        <v>0</v>
      </c>
      <c r="Q10" s="88">
        <f t="shared" si="2"/>
        <v>0</v>
      </c>
      <c r="R10" s="88">
        <f t="shared" si="3"/>
        <v>0</v>
      </c>
      <c r="S10" s="88">
        <f t="shared" si="4"/>
        <v>0</v>
      </c>
      <c r="T10" s="3"/>
      <c r="U10" s="3">
        <f t="shared" si="5"/>
        <v>0</v>
      </c>
      <c r="W10" s="49" t="s">
        <v>55</v>
      </c>
      <c r="X10" s="51">
        <f>SUM(M4:M33)</f>
        <v>0</v>
      </c>
      <c r="Y10" s="52"/>
    </row>
    <row r="11" spans="1:28" x14ac:dyDescent="0.25">
      <c r="A11" s="23">
        <v>6</v>
      </c>
      <c r="B11" s="19"/>
      <c r="C11" s="3"/>
      <c r="D11" s="3"/>
      <c r="E11" s="3"/>
      <c r="F11" s="3"/>
      <c r="G11" s="3"/>
      <c r="H11" s="3"/>
      <c r="I11" s="3"/>
      <c r="J11" s="3"/>
      <c r="K11" s="5"/>
      <c r="L11" s="3"/>
      <c r="M11" s="3"/>
      <c r="N11" s="3"/>
      <c r="O11" s="88">
        <f t="shared" si="0"/>
        <v>0</v>
      </c>
      <c r="P11" s="88">
        <f t="shared" si="1"/>
        <v>0</v>
      </c>
      <c r="Q11" s="88">
        <f t="shared" si="2"/>
        <v>0</v>
      </c>
      <c r="R11" s="88">
        <f t="shared" si="3"/>
        <v>0</v>
      </c>
      <c r="S11" s="88">
        <f t="shared" si="4"/>
        <v>0</v>
      </c>
      <c r="T11" s="3"/>
      <c r="U11" s="3">
        <f t="shared" si="5"/>
        <v>0</v>
      </c>
      <c r="W11" s="49" t="s">
        <v>94</v>
      </c>
      <c r="X11" s="51">
        <f>SUM(N4:N34)</f>
        <v>0</v>
      </c>
      <c r="Y11" s="52"/>
    </row>
    <row r="12" spans="1:28" x14ac:dyDescent="0.25">
      <c r="A12" s="23">
        <v>7</v>
      </c>
      <c r="B12" s="3"/>
      <c r="C12" s="3"/>
      <c r="D12" s="3"/>
      <c r="E12" s="3"/>
      <c r="F12" s="3"/>
      <c r="G12" s="3"/>
      <c r="H12" s="3"/>
      <c r="I12" s="3"/>
      <c r="J12" s="3"/>
      <c r="K12" s="5"/>
      <c r="L12" s="3"/>
      <c r="M12" s="3"/>
      <c r="N12" s="3"/>
      <c r="O12" s="88">
        <f t="shared" si="0"/>
        <v>0</v>
      </c>
      <c r="P12" s="88">
        <f t="shared" si="1"/>
        <v>0</v>
      </c>
      <c r="Q12" s="88">
        <f t="shared" si="2"/>
        <v>0</v>
      </c>
      <c r="R12" s="88">
        <f t="shared" si="3"/>
        <v>0</v>
      </c>
      <c r="S12" s="88">
        <f t="shared" si="4"/>
        <v>0</v>
      </c>
      <c r="T12" s="3"/>
      <c r="U12" s="3">
        <f t="shared" si="5"/>
        <v>0</v>
      </c>
      <c r="W12" s="49" t="s">
        <v>56</v>
      </c>
      <c r="X12" s="51">
        <f>-X3*X4</f>
        <v>0</v>
      </c>
      <c r="Y12" s="52"/>
    </row>
    <row r="13" spans="1:28" x14ac:dyDescent="0.25">
      <c r="A13" s="23">
        <v>8</v>
      </c>
      <c r="B13" s="3"/>
      <c r="C13" s="3"/>
      <c r="D13" s="3"/>
      <c r="E13" s="3"/>
      <c r="F13" s="3"/>
      <c r="G13" s="3"/>
      <c r="H13" s="3"/>
      <c r="I13" s="3"/>
      <c r="J13" s="3"/>
      <c r="K13" s="5"/>
      <c r="L13" s="3"/>
      <c r="M13" s="3"/>
      <c r="N13" s="3"/>
      <c r="O13" s="88">
        <f t="shared" si="0"/>
        <v>0</v>
      </c>
      <c r="P13" s="88">
        <f t="shared" si="1"/>
        <v>0</v>
      </c>
      <c r="Q13" s="88">
        <f t="shared" si="2"/>
        <v>0</v>
      </c>
      <c r="R13" s="88">
        <f t="shared" si="3"/>
        <v>0</v>
      </c>
      <c r="S13" s="88">
        <f t="shared" si="4"/>
        <v>0</v>
      </c>
      <c r="T13" s="3"/>
      <c r="U13" s="3">
        <f t="shared" si="5"/>
        <v>0</v>
      </c>
      <c r="W13" s="49" t="s">
        <v>57</v>
      </c>
      <c r="X13" s="55"/>
      <c r="Y13" s="52"/>
    </row>
    <row r="14" spans="1:28" x14ac:dyDescent="0.25">
      <c r="A14" s="23">
        <v>9</v>
      </c>
      <c r="B14" s="3"/>
      <c r="C14" s="3"/>
      <c r="D14" s="3"/>
      <c r="E14" s="3"/>
      <c r="F14" s="3"/>
      <c r="G14" s="3"/>
      <c r="H14" s="3"/>
      <c r="I14" s="3"/>
      <c r="J14" s="3"/>
      <c r="K14" s="5"/>
      <c r="L14" s="3"/>
      <c r="M14" s="3"/>
      <c r="N14" s="3"/>
      <c r="O14" s="88">
        <f t="shared" si="0"/>
        <v>0</v>
      </c>
      <c r="P14" s="88">
        <f t="shared" si="1"/>
        <v>0</v>
      </c>
      <c r="Q14" s="88">
        <f t="shared" si="2"/>
        <v>0</v>
      </c>
      <c r="R14" s="88">
        <f t="shared" si="3"/>
        <v>0</v>
      </c>
      <c r="S14" s="88">
        <f t="shared" si="4"/>
        <v>0</v>
      </c>
      <c r="T14" s="3"/>
      <c r="U14" s="3">
        <f t="shared" si="5"/>
        <v>0</v>
      </c>
      <c r="W14" s="49" t="s">
        <v>38</v>
      </c>
      <c r="X14" s="51">
        <f>SUM(T4:T33)</f>
        <v>0</v>
      </c>
      <c r="Y14" s="52"/>
    </row>
    <row r="15" spans="1:28" x14ac:dyDescent="0.25">
      <c r="A15" s="23">
        <v>10</v>
      </c>
      <c r="B15" s="3"/>
      <c r="C15" s="3"/>
      <c r="D15" s="3"/>
      <c r="E15" s="3"/>
      <c r="F15" s="22"/>
      <c r="G15" s="3"/>
      <c r="H15" s="3"/>
      <c r="I15" s="3"/>
      <c r="J15" s="3"/>
      <c r="K15" s="5"/>
      <c r="L15" s="3"/>
      <c r="M15" s="3"/>
      <c r="N15" s="3"/>
      <c r="O15" s="88">
        <f t="shared" si="0"/>
        <v>0</v>
      </c>
      <c r="P15" s="88">
        <f t="shared" si="1"/>
        <v>0</v>
      </c>
      <c r="Q15" s="88">
        <f t="shared" si="2"/>
        <v>0</v>
      </c>
      <c r="R15" s="88">
        <f t="shared" si="3"/>
        <v>0</v>
      </c>
      <c r="S15" s="88">
        <f t="shared" si="4"/>
        <v>0</v>
      </c>
      <c r="T15" s="3"/>
      <c r="U15" s="3">
        <f t="shared" si="5"/>
        <v>0</v>
      </c>
      <c r="W15" s="49" t="s">
        <v>37</v>
      </c>
      <c r="X15" s="55"/>
      <c r="Y15" s="52"/>
    </row>
    <row r="16" spans="1:28" x14ac:dyDescent="0.25">
      <c r="A16" s="23">
        <v>11</v>
      </c>
      <c r="B16" s="3"/>
      <c r="C16" s="3"/>
      <c r="D16" s="3"/>
      <c r="E16" s="3"/>
      <c r="F16" s="3"/>
      <c r="G16" s="3"/>
      <c r="H16" s="3"/>
      <c r="I16" s="3"/>
      <c r="J16" s="3"/>
      <c r="K16" s="5"/>
      <c r="L16" s="3"/>
      <c r="M16" s="3"/>
      <c r="N16" s="3"/>
      <c r="O16" s="88">
        <f t="shared" si="0"/>
        <v>0</v>
      </c>
      <c r="P16" s="88">
        <f t="shared" si="1"/>
        <v>0</v>
      </c>
      <c r="Q16" s="88">
        <f t="shared" si="2"/>
        <v>0</v>
      </c>
      <c r="R16" s="88">
        <f t="shared" si="3"/>
        <v>0</v>
      </c>
      <c r="S16" s="88">
        <f t="shared" si="4"/>
        <v>0</v>
      </c>
      <c r="T16" s="3"/>
      <c r="U16" s="3">
        <f t="shared" si="5"/>
        <v>0</v>
      </c>
      <c r="W16" s="49" t="s">
        <v>35</v>
      </c>
      <c r="X16" s="55"/>
      <c r="Y16" s="52"/>
    </row>
    <row r="17" spans="1:27" x14ac:dyDescent="0.25">
      <c r="A17" s="23">
        <v>12</v>
      </c>
      <c r="B17" s="3"/>
      <c r="C17" s="3"/>
      <c r="D17" s="3"/>
      <c r="E17" s="3"/>
      <c r="F17" s="3"/>
      <c r="G17" s="3"/>
      <c r="H17" s="3"/>
      <c r="I17" s="3"/>
      <c r="J17" s="3"/>
      <c r="K17" s="5"/>
      <c r="L17" s="3"/>
      <c r="M17" s="3"/>
      <c r="N17" s="3"/>
      <c r="O17" s="88">
        <f t="shared" si="0"/>
        <v>0</v>
      </c>
      <c r="P17" s="88">
        <f t="shared" si="1"/>
        <v>0</v>
      </c>
      <c r="Q17" s="88">
        <f t="shared" si="2"/>
        <v>0</v>
      </c>
      <c r="R17" s="88">
        <f t="shared" si="3"/>
        <v>0</v>
      </c>
      <c r="S17" s="88">
        <f t="shared" si="4"/>
        <v>0</v>
      </c>
      <c r="T17" s="3"/>
      <c r="U17" s="3">
        <f t="shared" si="5"/>
        <v>0</v>
      </c>
      <c r="W17" s="49" t="s">
        <v>58</v>
      </c>
      <c r="X17" s="55">
        <v>0</v>
      </c>
      <c r="Y17" s="52"/>
    </row>
    <row r="18" spans="1:27" x14ac:dyDescent="0.25">
      <c r="A18" s="23">
        <v>13</v>
      </c>
      <c r="B18" s="3"/>
      <c r="C18" s="3"/>
      <c r="D18" s="3"/>
      <c r="E18" s="3"/>
      <c r="F18" s="3"/>
      <c r="G18" s="3"/>
      <c r="H18" s="3"/>
      <c r="I18" s="3"/>
      <c r="J18" s="3"/>
      <c r="K18" s="5"/>
      <c r="L18" s="3"/>
      <c r="M18" s="3"/>
      <c r="N18" s="3"/>
      <c r="O18" s="88">
        <f t="shared" si="0"/>
        <v>0</v>
      </c>
      <c r="P18" s="88">
        <f t="shared" si="1"/>
        <v>0</v>
      </c>
      <c r="Q18" s="88">
        <f t="shared" si="2"/>
        <v>0</v>
      </c>
      <c r="R18" s="88">
        <f t="shared" si="3"/>
        <v>0</v>
      </c>
      <c r="S18" s="88">
        <f t="shared" si="4"/>
        <v>0</v>
      </c>
      <c r="T18" s="3"/>
      <c r="U18" s="3">
        <f t="shared" si="5"/>
        <v>0</v>
      </c>
      <c r="W18" s="49" t="s">
        <v>90</v>
      </c>
      <c r="X18" s="55"/>
      <c r="Y18" s="52"/>
    </row>
    <row r="19" spans="1:27" x14ac:dyDescent="0.25">
      <c r="A19" s="23">
        <v>14</v>
      </c>
      <c r="B19" s="3"/>
      <c r="C19" s="3"/>
      <c r="D19" s="3"/>
      <c r="E19" s="3"/>
      <c r="F19" s="3"/>
      <c r="G19" s="3"/>
      <c r="H19" s="3"/>
      <c r="I19" s="3"/>
      <c r="J19" s="3"/>
      <c r="K19" s="5"/>
      <c r="L19" s="3"/>
      <c r="M19" s="3"/>
      <c r="N19" s="3"/>
      <c r="O19" s="88">
        <f t="shared" si="0"/>
        <v>0</v>
      </c>
      <c r="P19" s="88">
        <f t="shared" si="1"/>
        <v>0</v>
      </c>
      <c r="Q19" s="88">
        <f t="shared" si="2"/>
        <v>0</v>
      </c>
      <c r="R19" s="88">
        <f t="shared" si="3"/>
        <v>0</v>
      </c>
      <c r="S19" s="88">
        <f t="shared" si="4"/>
        <v>0</v>
      </c>
      <c r="T19" s="3"/>
      <c r="U19" s="3">
        <f t="shared" si="5"/>
        <v>0</v>
      </c>
      <c r="W19" s="49" t="s">
        <v>91</v>
      </c>
      <c r="X19" s="51">
        <f>(X18*20%)+(-X21*11%)</f>
        <v>0</v>
      </c>
      <c r="Y19" s="52"/>
    </row>
    <row r="20" spans="1:27" x14ac:dyDescent="0.25">
      <c r="A20" s="23">
        <v>15</v>
      </c>
      <c r="B20" s="3"/>
      <c r="C20" s="3"/>
      <c r="D20" s="3"/>
      <c r="E20" s="3"/>
      <c r="F20" s="3"/>
      <c r="G20" s="3"/>
      <c r="H20" s="3"/>
      <c r="I20" s="3"/>
      <c r="J20" s="3"/>
      <c r="K20" s="5"/>
      <c r="L20" s="3"/>
      <c r="M20" s="3"/>
      <c r="N20" s="3"/>
      <c r="O20" s="88">
        <f t="shared" si="0"/>
        <v>0</v>
      </c>
      <c r="P20" s="88">
        <f t="shared" si="1"/>
        <v>0</v>
      </c>
      <c r="Q20" s="88">
        <f t="shared" si="2"/>
        <v>0</v>
      </c>
      <c r="R20" s="88">
        <f t="shared" si="3"/>
        <v>0</v>
      </c>
      <c r="S20" s="88">
        <f t="shared" si="4"/>
        <v>0</v>
      </c>
      <c r="T20" s="3"/>
      <c r="U20" s="3">
        <f t="shared" si="5"/>
        <v>0</v>
      </c>
      <c r="W20" s="49" t="s">
        <v>42</v>
      </c>
      <c r="X20" s="55"/>
      <c r="Y20" s="52"/>
    </row>
    <row r="21" spans="1:27" ht="15.75" thickBot="1" x14ac:dyDescent="0.3">
      <c r="A21" s="23">
        <v>16</v>
      </c>
      <c r="B21" s="3"/>
      <c r="C21" s="3"/>
      <c r="D21" s="3"/>
      <c r="E21" s="3"/>
      <c r="F21" s="3"/>
      <c r="G21" s="3"/>
      <c r="H21" s="3"/>
      <c r="I21" s="3"/>
      <c r="J21" s="3"/>
      <c r="K21" s="5"/>
      <c r="L21" s="3"/>
      <c r="M21" s="3"/>
      <c r="N21" s="3"/>
      <c r="O21" s="88">
        <f t="shared" si="0"/>
        <v>0</v>
      </c>
      <c r="P21" s="88">
        <f t="shared" si="1"/>
        <v>0</v>
      </c>
      <c r="Q21" s="88">
        <f t="shared" si="2"/>
        <v>0</v>
      </c>
      <c r="R21" s="88">
        <f t="shared" si="3"/>
        <v>0</v>
      </c>
      <c r="S21" s="88">
        <f t="shared" si="4"/>
        <v>0</v>
      </c>
      <c r="T21" s="3"/>
      <c r="U21" s="3">
        <f t="shared" si="5"/>
        <v>0</v>
      </c>
      <c r="W21" s="50" t="s">
        <v>43</v>
      </c>
      <c r="X21" s="56">
        <f>X3+X5+X6+X9+X10+X12+X13+X15+X16+X17+X18+X20+X7</f>
        <v>0</v>
      </c>
      <c r="Y21" s="35">
        <f>Y3+Y5+Y6+Y7+Y9+Y10+Y12+Y13+Y15+Y16+Y17+Y18+Y20</f>
        <v>0</v>
      </c>
      <c r="Z21" s="1"/>
      <c r="AA21" s="1"/>
    </row>
    <row r="22" spans="1:27" ht="15.75" thickBot="1" x14ac:dyDescent="0.3">
      <c r="A22" s="23">
        <v>17</v>
      </c>
      <c r="B22" s="3"/>
      <c r="C22" s="3"/>
      <c r="D22" s="3"/>
      <c r="E22" s="3"/>
      <c r="F22" s="3"/>
      <c r="G22" s="3"/>
      <c r="H22" s="3"/>
      <c r="I22" s="3"/>
      <c r="J22" s="3"/>
      <c r="K22" s="5"/>
      <c r="L22" s="3"/>
      <c r="M22" s="3"/>
      <c r="N22" s="3"/>
      <c r="O22" s="88">
        <f t="shared" si="0"/>
        <v>0</v>
      </c>
      <c r="P22" s="88">
        <f t="shared" si="1"/>
        <v>0</v>
      </c>
      <c r="Q22" s="88">
        <f t="shared" si="2"/>
        <v>0</v>
      </c>
      <c r="R22" s="88">
        <f t="shared" si="3"/>
        <v>0</v>
      </c>
      <c r="S22" s="88">
        <f t="shared" si="4"/>
        <v>0</v>
      </c>
      <c r="T22" s="3"/>
      <c r="U22" s="3">
        <f t="shared" si="5"/>
        <v>0</v>
      </c>
      <c r="W22" s="50" t="s">
        <v>92</v>
      </c>
      <c r="X22" s="56">
        <f>X3+X5+X6+X7+X9+X10+X12+X13+X14+X15+X16+X17+X18+X19+X20</f>
        <v>0</v>
      </c>
      <c r="Y22" s="35">
        <f>Y3+Y5+Y6+Y7+Y9+Y10+Y12+Y13+Y15+Y16+Y17+Y18+Y19+Y20</f>
        <v>0</v>
      </c>
    </row>
    <row r="23" spans="1:27" x14ac:dyDescent="0.25">
      <c r="A23" s="23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88">
        <f t="shared" si="0"/>
        <v>0</v>
      </c>
      <c r="P23" s="88">
        <f t="shared" si="1"/>
        <v>0</v>
      </c>
      <c r="Q23" s="88">
        <f t="shared" si="2"/>
        <v>0</v>
      </c>
      <c r="R23" s="88">
        <f t="shared" si="3"/>
        <v>0</v>
      </c>
      <c r="S23" s="88">
        <f t="shared" si="4"/>
        <v>0</v>
      </c>
      <c r="T23" s="3"/>
      <c r="U23" s="3">
        <f t="shared" si="5"/>
        <v>0</v>
      </c>
    </row>
    <row r="24" spans="1:27" x14ac:dyDescent="0.25">
      <c r="A24" s="23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88">
        <f t="shared" si="0"/>
        <v>0</v>
      </c>
      <c r="P24" s="88">
        <f t="shared" si="1"/>
        <v>0</v>
      </c>
      <c r="Q24" s="88">
        <f t="shared" si="2"/>
        <v>0</v>
      </c>
      <c r="R24" s="88">
        <f t="shared" si="3"/>
        <v>0</v>
      </c>
      <c r="S24" s="88">
        <f t="shared" si="4"/>
        <v>0</v>
      </c>
      <c r="T24" s="3"/>
      <c r="U24" s="3">
        <f t="shared" si="5"/>
        <v>0</v>
      </c>
      <c r="W24" s="13" t="s">
        <v>44</v>
      </c>
      <c r="X24" s="36">
        <f>X6+X5+X14+X13</f>
        <v>0</v>
      </c>
      <c r="Y24" s="14"/>
    </row>
    <row r="25" spans="1:27" x14ac:dyDescent="0.25">
      <c r="A25" s="23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88">
        <f t="shared" si="0"/>
        <v>0</v>
      </c>
      <c r="P25" s="88">
        <f t="shared" si="1"/>
        <v>0</v>
      </c>
      <c r="Q25" s="88">
        <f t="shared" si="2"/>
        <v>0</v>
      </c>
      <c r="R25" s="88">
        <f t="shared" si="3"/>
        <v>0</v>
      </c>
      <c r="S25" s="88">
        <f t="shared" si="4"/>
        <v>0</v>
      </c>
      <c r="T25" s="3"/>
      <c r="U25" s="3">
        <f t="shared" si="5"/>
        <v>0</v>
      </c>
    </row>
    <row r="26" spans="1:27" x14ac:dyDescent="0.25">
      <c r="A26" s="23">
        <v>21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88">
        <f t="shared" si="0"/>
        <v>0</v>
      </c>
      <c r="P26" s="88">
        <f t="shared" si="1"/>
        <v>0</v>
      </c>
      <c r="Q26" s="88">
        <f t="shared" si="2"/>
        <v>0</v>
      </c>
      <c r="R26" s="88">
        <f t="shared" si="3"/>
        <v>0</v>
      </c>
      <c r="S26" s="88">
        <f t="shared" si="4"/>
        <v>0</v>
      </c>
      <c r="T26" s="3"/>
      <c r="U26" s="3">
        <f t="shared" si="5"/>
        <v>0</v>
      </c>
      <c r="W26" s="1"/>
    </row>
    <row r="27" spans="1:27" x14ac:dyDescent="0.25">
      <c r="A27" s="23">
        <v>22</v>
      </c>
      <c r="B27" s="3"/>
      <c r="C27" s="3"/>
      <c r="D27" s="3"/>
      <c r="E27" s="3"/>
      <c r="F27" s="22"/>
      <c r="G27" s="3"/>
      <c r="H27" s="3"/>
      <c r="I27" s="3"/>
      <c r="J27" s="3"/>
      <c r="K27" s="5"/>
      <c r="L27" s="3"/>
      <c r="M27" s="3"/>
      <c r="N27" s="3"/>
      <c r="O27" s="88">
        <f t="shared" si="0"/>
        <v>0</v>
      </c>
      <c r="P27" s="88">
        <f t="shared" si="1"/>
        <v>0</v>
      </c>
      <c r="Q27" s="88">
        <f t="shared" si="2"/>
        <v>0</v>
      </c>
      <c r="R27" s="88">
        <f t="shared" si="3"/>
        <v>0</v>
      </c>
      <c r="S27" s="88">
        <f t="shared" si="4"/>
        <v>0</v>
      </c>
      <c r="T27" s="3"/>
      <c r="U27" s="3">
        <f t="shared" si="5"/>
        <v>0</v>
      </c>
      <c r="W27" s="11" t="s">
        <v>45</v>
      </c>
      <c r="X27" s="42">
        <f>(X22*X30)</f>
        <v>0</v>
      </c>
      <c r="Y27" s="12">
        <f>Y22*50%</f>
        <v>0</v>
      </c>
    </row>
    <row r="28" spans="1:27" x14ac:dyDescent="0.25">
      <c r="A28" s="23">
        <v>23</v>
      </c>
      <c r="B28" s="3"/>
      <c r="C28" s="3"/>
      <c r="D28" s="3"/>
      <c r="E28" s="3"/>
      <c r="F28" s="22"/>
      <c r="G28" s="3"/>
      <c r="H28" s="3"/>
      <c r="I28" s="3"/>
      <c r="J28" s="3"/>
      <c r="K28" s="5"/>
      <c r="L28" s="3"/>
      <c r="M28" s="3"/>
      <c r="N28" s="3"/>
      <c r="O28" s="88">
        <f t="shared" si="0"/>
        <v>0</v>
      </c>
      <c r="P28" s="88">
        <f t="shared" si="1"/>
        <v>0</v>
      </c>
      <c r="Q28" s="88">
        <f t="shared" si="2"/>
        <v>0</v>
      </c>
      <c r="R28" s="88">
        <f t="shared" si="3"/>
        <v>0</v>
      </c>
      <c r="S28" s="88">
        <f t="shared" si="4"/>
        <v>0</v>
      </c>
      <c r="T28" s="3"/>
      <c r="U28" s="3">
        <f t="shared" si="5"/>
        <v>0</v>
      </c>
      <c r="W28" s="11" t="s">
        <v>46</v>
      </c>
      <c r="X28" s="42">
        <f>X22*X31</f>
        <v>0</v>
      </c>
      <c r="Y28" s="12">
        <f>Y22*X31</f>
        <v>0</v>
      </c>
    </row>
    <row r="29" spans="1:27" ht="15.75" thickBot="1" x14ac:dyDescent="0.3">
      <c r="A29" s="23">
        <v>24</v>
      </c>
      <c r="B29" s="3"/>
      <c r="C29" s="3"/>
      <c r="D29" s="3"/>
      <c r="E29" s="3"/>
      <c r="F29" s="22"/>
      <c r="G29" s="3"/>
      <c r="H29" s="3"/>
      <c r="I29" s="3"/>
      <c r="J29" s="3"/>
      <c r="K29" s="5"/>
      <c r="L29" s="3"/>
      <c r="M29" s="3"/>
      <c r="N29" s="3"/>
      <c r="O29" s="88">
        <f t="shared" si="0"/>
        <v>0</v>
      </c>
      <c r="P29" s="88">
        <f t="shared" si="1"/>
        <v>0</v>
      </c>
      <c r="Q29" s="88">
        <f t="shared" si="2"/>
        <v>0</v>
      </c>
      <c r="R29" s="88">
        <f t="shared" si="3"/>
        <v>0</v>
      </c>
      <c r="S29" s="88">
        <f t="shared" si="4"/>
        <v>0</v>
      </c>
      <c r="T29" s="3"/>
      <c r="U29" s="3">
        <f t="shared" si="5"/>
        <v>0</v>
      </c>
      <c r="Y29" s="1"/>
    </row>
    <row r="30" spans="1:27" ht="15.75" thickBot="1" x14ac:dyDescent="0.3">
      <c r="A30" s="23">
        <v>25</v>
      </c>
      <c r="B30" s="3"/>
      <c r="C30" s="3"/>
      <c r="D30" s="3"/>
      <c r="E30" s="3"/>
      <c r="F30" s="22"/>
      <c r="G30" s="3"/>
      <c r="H30" s="3"/>
      <c r="I30" s="3"/>
      <c r="J30" s="3"/>
      <c r="K30" s="5"/>
      <c r="L30" s="5"/>
      <c r="M30" s="3"/>
      <c r="N30" s="3"/>
      <c r="O30" s="88">
        <f t="shared" si="0"/>
        <v>0</v>
      </c>
      <c r="P30" s="88">
        <f t="shared" si="1"/>
        <v>0</v>
      </c>
      <c r="Q30" s="88">
        <f t="shared" si="2"/>
        <v>0</v>
      </c>
      <c r="R30" s="88">
        <f t="shared" si="3"/>
        <v>0</v>
      </c>
      <c r="S30" s="88">
        <f t="shared" si="4"/>
        <v>0</v>
      </c>
      <c r="T30" s="3"/>
      <c r="U30" s="3">
        <f t="shared" si="5"/>
        <v>0</v>
      </c>
      <c r="W30" s="46" t="s">
        <v>73</v>
      </c>
      <c r="X30" s="47">
        <v>0.5</v>
      </c>
    </row>
    <row r="31" spans="1:27" ht="15.75" thickBot="1" x14ac:dyDescent="0.3">
      <c r="A31" s="23">
        <v>26</v>
      </c>
      <c r="B31" s="3"/>
      <c r="C31" s="3"/>
      <c r="D31" s="3"/>
      <c r="E31" s="3"/>
      <c r="F31" s="22"/>
      <c r="G31" s="3"/>
      <c r="H31" s="3"/>
      <c r="I31" s="3"/>
      <c r="J31" s="3"/>
      <c r="K31" s="5"/>
      <c r="L31" s="3"/>
      <c r="M31" s="3"/>
      <c r="N31" s="3"/>
      <c r="O31" s="88">
        <f t="shared" si="0"/>
        <v>0</v>
      </c>
      <c r="P31" s="88">
        <f t="shared" si="1"/>
        <v>0</v>
      </c>
      <c r="Q31" s="88">
        <f t="shared" si="2"/>
        <v>0</v>
      </c>
      <c r="R31" s="88">
        <f t="shared" si="3"/>
        <v>0</v>
      </c>
      <c r="S31" s="88">
        <f t="shared" si="4"/>
        <v>0</v>
      </c>
      <c r="T31" s="3"/>
      <c r="U31" s="3">
        <f t="shared" si="5"/>
        <v>0</v>
      </c>
      <c r="W31" s="46" t="s">
        <v>46</v>
      </c>
      <c r="X31" s="48">
        <v>0.5</v>
      </c>
      <c r="Z31" s="118"/>
      <c r="AA31" s="119"/>
    </row>
    <row r="32" spans="1:27" ht="15.75" thickBot="1" x14ac:dyDescent="0.3">
      <c r="A32" s="23">
        <v>27</v>
      </c>
      <c r="B32" s="3"/>
      <c r="C32" s="3"/>
      <c r="D32" s="3"/>
      <c r="E32" s="3"/>
      <c r="F32" s="22"/>
      <c r="G32" s="3"/>
      <c r="H32" s="3"/>
      <c r="I32" s="3"/>
      <c r="J32" s="3"/>
      <c r="K32" s="5"/>
      <c r="L32" s="3"/>
      <c r="M32" s="3"/>
      <c r="N32" s="3"/>
      <c r="O32" s="88">
        <f t="shared" si="0"/>
        <v>0</v>
      </c>
      <c r="P32" s="88">
        <f t="shared" si="1"/>
        <v>0</v>
      </c>
      <c r="Q32" s="88">
        <f t="shared" si="2"/>
        <v>0</v>
      </c>
      <c r="R32" s="88">
        <f t="shared" si="3"/>
        <v>0</v>
      </c>
      <c r="S32" s="88">
        <f t="shared" si="4"/>
        <v>0</v>
      </c>
      <c r="T32" s="3"/>
      <c r="U32" s="3">
        <f t="shared" si="5"/>
        <v>0</v>
      </c>
      <c r="W32" s="1"/>
      <c r="X32" s="40"/>
      <c r="Y32" s="117" t="s">
        <v>71</v>
      </c>
      <c r="Z32" s="44"/>
      <c r="AA32" s="45"/>
    </row>
    <row r="33" spans="1:28" s="1" customFormat="1" ht="15.75" thickBot="1" x14ac:dyDescent="0.3">
      <c r="A33" s="23">
        <v>28</v>
      </c>
      <c r="B33" s="3"/>
      <c r="C33" s="3"/>
      <c r="D33" s="3"/>
      <c r="E33" s="3"/>
      <c r="F33" s="22"/>
      <c r="G33" s="3"/>
      <c r="H33" s="3"/>
      <c r="I33" s="3"/>
      <c r="J33" s="3"/>
      <c r="K33" s="5"/>
      <c r="L33" s="3"/>
      <c r="M33" s="3"/>
      <c r="N33" s="3"/>
      <c r="O33" s="88">
        <f t="shared" si="0"/>
        <v>0</v>
      </c>
      <c r="P33" s="88">
        <f t="shared" si="1"/>
        <v>0</v>
      </c>
      <c r="Q33" s="88">
        <f t="shared" si="2"/>
        <v>0</v>
      </c>
      <c r="R33" s="88">
        <f t="shared" si="3"/>
        <v>0</v>
      </c>
      <c r="S33" s="88">
        <f t="shared" si="4"/>
        <v>0</v>
      </c>
      <c r="T33" s="3"/>
      <c r="U33" s="3">
        <f t="shared" si="5"/>
        <v>0</v>
      </c>
      <c r="V33" s="6"/>
      <c r="X33" s="41"/>
      <c r="Y33" s="43" t="s">
        <v>72</v>
      </c>
      <c r="Z33" s="6"/>
      <c r="AA33" s="6"/>
      <c r="AB33" s="6"/>
    </row>
    <row r="34" spans="1:28" s="1" customFormat="1" x14ac:dyDescent="0.25">
      <c r="A34" s="23">
        <v>29</v>
      </c>
      <c r="B34" s="3"/>
      <c r="C34" s="3"/>
      <c r="D34" s="3"/>
      <c r="E34" s="3"/>
      <c r="F34" s="22"/>
      <c r="G34" s="3"/>
      <c r="H34" s="3"/>
      <c r="I34" s="3"/>
      <c r="J34" s="3"/>
      <c r="K34" s="5"/>
      <c r="L34" s="3"/>
      <c r="M34" s="3"/>
      <c r="N34" s="3"/>
      <c r="O34" s="88">
        <f t="shared" si="0"/>
        <v>0</v>
      </c>
      <c r="P34" s="88">
        <f t="shared" si="1"/>
        <v>0</v>
      </c>
      <c r="Q34" s="88">
        <f t="shared" si="2"/>
        <v>0</v>
      </c>
      <c r="R34" s="88">
        <f t="shared" si="3"/>
        <v>0</v>
      </c>
      <c r="S34" s="88">
        <f t="shared" si="4"/>
        <v>0</v>
      </c>
      <c r="T34" s="3"/>
      <c r="U34" s="3">
        <f t="shared" si="5"/>
        <v>0</v>
      </c>
      <c r="V34" s="6"/>
      <c r="W34" s="6"/>
      <c r="Y34" s="6"/>
      <c r="Z34" s="6"/>
      <c r="AA34" s="6"/>
      <c r="AB34" s="6"/>
    </row>
    <row r="35" spans="1:28" s="1" customFormat="1" x14ac:dyDescent="0.25">
      <c r="A35" s="20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Y35" s="6"/>
      <c r="Z35" s="6"/>
      <c r="AA35" s="6"/>
      <c r="AB35" s="6"/>
    </row>
    <row r="36" spans="1:28" s="1" customFormat="1" x14ac:dyDescent="0.25">
      <c r="A36" s="139" t="s">
        <v>47</v>
      </c>
      <c r="B36" s="139"/>
      <c r="C36" s="21">
        <f>SUM(C4:C34)</f>
        <v>0</v>
      </c>
      <c r="D36" s="21">
        <f t="shared" ref="D36:I36" si="6">SUM(D4:D34)</f>
        <v>0</v>
      </c>
      <c r="E36" s="21">
        <f t="shared" si="6"/>
        <v>0</v>
      </c>
      <c r="F36" s="21">
        <f t="shared" si="6"/>
        <v>0</v>
      </c>
      <c r="G36" s="21">
        <f t="shared" si="6"/>
        <v>0</v>
      </c>
      <c r="H36" s="21">
        <f t="shared" si="6"/>
        <v>0</v>
      </c>
      <c r="I36" s="21">
        <f t="shared" si="6"/>
        <v>0</v>
      </c>
      <c r="J36" s="18"/>
      <c r="K36" s="1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Y36" s="6"/>
      <c r="Z36" s="6"/>
      <c r="AA36" s="6"/>
      <c r="AB36" s="6"/>
    </row>
    <row r="37" spans="1:28" s="1" customFormat="1" x14ac:dyDescent="0.25">
      <c r="A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Y37" s="6"/>
      <c r="Z37" s="6"/>
      <c r="AA37" s="6"/>
      <c r="AB37" s="6"/>
    </row>
    <row r="38" spans="1:28" s="1" customFormat="1" x14ac:dyDescent="0.25">
      <c r="A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Y38" s="6"/>
      <c r="Z38" s="6"/>
      <c r="AA38" s="6"/>
      <c r="AB38" s="6"/>
    </row>
    <row r="39" spans="1:28" s="1" customFormat="1" x14ac:dyDescent="0.25">
      <c r="A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Y39" s="6"/>
      <c r="Z39" s="6"/>
      <c r="AA39" s="6"/>
      <c r="AB39" s="6"/>
    </row>
    <row r="464" spans="25:25" x14ac:dyDescent="0.25">
      <c r="Y464" s="1"/>
    </row>
  </sheetData>
  <mergeCells count="2">
    <mergeCell ref="A1:U2"/>
    <mergeCell ref="A36:B36"/>
  </mergeCells>
  <pageMargins left="0.7" right="0.7" top="0.75" bottom="0.75" header="0.3" footer="0.3"/>
  <pageSetup paperSize="25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938B2-F292-424F-82B3-0558A40824A5}">
  <dimension ref="A1:AB464"/>
  <sheetViews>
    <sheetView topLeftCell="L1" workbookViewId="0">
      <selection activeCell="X5" sqref="X5"/>
    </sheetView>
  </sheetViews>
  <sheetFormatPr defaultRowHeight="15" x14ac:dyDescent="0.25"/>
  <cols>
    <col min="1" max="1" width="4.28515625" style="6" bestFit="1" customWidth="1"/>
    <col min="2" max="2" width="15.28515625" style="1" bestFit="1" customWidth="1"/>
    <col min="3" max="3" width="15.85546875" style="6" bestFit="1" customWidth="1"/>
    <col min="4" max="4" width="16.85546875" style="6" bestFit="1" customWidth="1"/>
    <col min="5" max="9" width="16.85546875" style="6" customWidth="1"/>
    <col min="10" max="10" width="14.28515625" style="6" bestFit="1" customWidth="1"/>
    <col min="11" max="12" width="10.7109375" style="6" bestFit="1" customWidth="1"/>
    <col min="13" max="13" width="12.5703125" style="6" bestFit="1" customWidth="1"/>
    <col min="14" max="14" width="12.5703125" style="6" customWidth="1"/>
    <col min="15" max="15" width="9.42578125" style="6" bestFit="1" customWidth="1"/>
    <col min="16" max="16" width="11.28515625" style="6" bestFit="1" customWidth="1"/>
    <col min="17" max="17" width="15.140625" style="6" bestFit="1" customWidth="1"/>
    <col min="18" max="19" width="8.28515625" style="6" bestFit="1" customWidth="1"/>
    <col min="20" max="20" width="14.5703125" style="6" bestFit="1" customWidth="1"/>
    <col min="21" max="21" width="19" style="6" bestFit="1" customWidth="1"/>
    <col min="22" max="22" width="15.85546875" style="6" customWidth="1"/>
    <col min="23" max="23" width="28.85546875" style="6" bestFit="1" customWidth="1"/>
    <col min="24" max="24" width="11.7109375" style="1" bestFit="1" customWidth="1"/>
    <col min="25" max="25" width="10.7109375" style="6" bestFit="1" customWidth="1"/>
    <col min="26" max="26" width="15.28515625" style="6" bestFit="1" customWidth="1"/>
    <col min="27" max="27" width="21.7109375" style="6" bestFit="1" customWidth="1"/>
    <col min="28" max="28" width="15.85546875" style="6" customWidth="1"/>
    <col min="29" max="16384" width="9.140625" style="6"/>
  </cols>
  <sheetData>
    <row r="1" spans="1:28" ht="15.75" thickBot="1" x14ac:dyDescent="0.3">
      <c r="A1" s="138" t="s">
        <v>66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</row>
    <row r="2" spans="1:28" x14ac:dyDescent="0.25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W2" s="62"/>
      <c r="X2" s="63" t="s">
        <v>49</v>
      </c>
      <c r="Y2" s="64" t="s">
        <v>50</v>
      </c>
    </row>
    <row r="3" spans="1:28" x14ac:dyDescent="0.25">
      <c r="A3" s="9" t="s">
        <v>21</v>
      </c>
      <c r="B3" s="7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9" t="s">
        <v>31</v>
      </c>
      <c r="L3" s="8" t="s">
        <v>32</v>
      </c>
      <c r="M3" s="8" t="s">
        <v>33</v>
      </c>
      <c r="N3" s="8" t="s">
        <v>94</v>
      </c>
      <c r="O3" s="8" t="s">
        <v>34</v>
      </c>
      <c r="P3" s="8" t="s">
        <v>58</v>
      </c>
      <c r="Q3" s="8" t="s">
        <v>35</v>
      </c>
      <c r="R3" s="8" t="s">
        <v>36</v>
      </c>
      <c r="S3" s="8" t="s">
        <v>37</v>
      </c>
      <c r="T3" s="8" t="s">
        <v>38</v>
      </c>
      <c r="U3" s="9" t="s">
        <v>39</v>
      </c>
      <c r="W3" s="49" t="s">
        <v>17</v>
      </c>
      <c r="X3" s="51">
        <f>SUM(C35:I35)</f>
        <v>0</v>
      </c>
      <c r="Y3" s="51"/>
      <c r="AA3" s="60" t="s">
        <v>75</v>
      </c>
      <c r="AB3" s="60" t="s">
        <v>74</v>
      </c>
    </row>
    <row r="4" spans="1:28" x14ac:dyDescent="0.25">
      <c r="A4" s="23">
        <v>30</v>
      </c>
      <c r="B4" s="19"/>
      <c r="C4" s="4"/>
      <c r="D4" s="4"/>
      <c r="E4" s="4"/>
      <c r="F4" s="4"/>
      <c r="G4" s="4"/>
      <c r="H4" s="4"/>
      <c r="I4" s="4"/>
      <c r="J4" s="4"/>
      <c r="K4" s="10"/>
      <c r="L4" s="3"/>
      <c r="M4" s="3"/>
      <c r="N4" s="3"/>
      <c r="O4" s="88">
        <f>$X$18/30</f>
        <v>0</v>
      </c>
      <c r="P4" s="88">
        <f>$X$17/30</f>
        <v>0</v>
      </c>
      <c r="Q4" s="88">
        <f>$X$16/30</f>
        <v>0</v>
      </c>
      <c r="R4" s="88">
        <f>$X$19/30</f>
        <v>0</v>
      </c>
      <c r="S4" s="88">
        <f>$X$15/30</f>
        <v>0</v>
      </c>
      <c r="T4" s="3"/>
      <c r="U4" s="3">
        <f>C4+B4+K4+L4+M4+O4+P4+Q4+R4+S4+T4+D4+E4+F4+G4+I4+H4</f>
        <v>0</v>
      </c>
      <c r="W4" s="49" t="s">
        <v>40</v>
      </c>
      <c r="X4" s="53">
        <v>0.04</v>
      </c>
      <c r="Y4" s="53"/>
      <c r="AA4" s="58" t="str">
        <f>IFERROR(-(X3/(X6+X7)),"")</f>
        <v/>
      </c>
      <c r="AB4" s="59" t="str">
        <f>IF($AA$4 &gt; 12, "⭐ Excelente", IF($AA$4 &gt;= 6, "✅ Saudável", IF($AA$4 &lt; 5, "🛑 Perigo", "⚠️ Atenção")))</f>
        <v>⭐ Excelente</v>
      </c>
    </row>
    <row r="5" spans="1:28" x14ac:dyDescent="0.25">
      <c r="A5" s="23">
        <v>31</v>
      </c>
      <c r="B5" s="19"/>
      <c r="C5" s="3"/>
      <c r="D5" s="3"/>
      <c r="E5" s="3"/>
      <c r="F5" s="3"/>
      <c r="G5" s="3"/>
      <c r="H5" s="3"/>
      <c r="I5" s="3"/>
      <c r="J5" s="3"/>
      <c r="K5" s="5"/>
      <c r="L5" s="3"/>
      <c r="M5" s="3"/>
      <c r="N5" s="3"/>
      <c r="O5" s="88">
        <f t="shared" ref="O5:O34" si="0">$X$18/30</f>
        <v>0</v>
      </c>
      <c r="P5" s="88">
        <f t="shared" ref="P5:P34" si="1">$X$17/30</f>
        <v>0</v>
      </c>
      <c r="Q5" s="88">
        <f t="shared" ref="Q5:Q34" si="2">$X$16/30</f>
        <v>0</v>
      </c>
      <c r="R5" s="88">
        <f t="shared" ref="R5:R34" si="3">$X$19/30</f>
        <v>0</v>
      </c>
      <c r="S5" s="88">
        <f t="shared" ref="S5:S34" si="4">$X$15/30</f>
        <v>0</v>
      </c>
      <c r="T5" s="3"/>
      <c r="U5" s="3">
        <f t="shared" ref="U5:U34" si="5">C5+B5+K5+L5+M5+O5+P5+Q5+R5+S5+T5+D5+E5+F5+G5+I5+H5</f>
        <v>0</v>
      </c>
      <c r="W5" s="49" t="s">
        <v>51</v>
      </c>
      <c r="X5" s="51">
        <f>SUM(B4:B33)</f>
        <v>0</v>
      </c>
      <c r="Y5" s="52"/>
      <c r="Z5" s="1"/>
      <c r="AB5" s="1"/>
    </row>
    <row r="6" spans="1:28" x14ac:dyDescent="0.25">
      <c r="A6" s="23">
        <v>1</v>
      </c>
      <c r="B6" s="19"/>
      <c r="C6" s="3"/>
      <c r="D6" s="3"/>
      <c r="E6" s="3"/>
      <c r="F6" s="3"/>
      <c r="G6" s="3"/>
      <c r="H6" s="3"/>
      <c r="I6" s="3"/>
      <c r="J6" s="3"/>
      <c r="K6" s="5"/>
      <c r="L6" s="3"/>
      <c r="M6" s="3"/>
      <c r="N6" s="3"/>
      <c r="O6" s="88">
        <f t="shared" si="0"/>
        <v>0</v>
      </c>
      <c r="P6" s="88">
        <f t="shared" si="1"/>
        <v>0</v>
      </c>
      <c r="Q6" s="88">
        <f t="shared" si="2"/>
        <v>0</v>
      </c>
      <c r="R6" s="88">
        <f t="shared" si="3"/>
        <v>0</v>
      </c>
      <c r="S6" s="88">
        <f t="shared" si="4"/>
        <v>0</v>
      </c>
      <c r="T6" s="3"/>
      <c r="U6" s="3">
        <f t="shared" si="5"/>
        <v>0</v>
      </c>
      <c r="W6" s="49" t="s">
        <v>52</v>
      </c>
      <c r="X6" s="51">
        <f>SUM(K4:K33)</f>
        <v>0</v>
      </c>
      <c r="Y6" s="52"/>
      <c r="AA6" s="95" t="s">
        <v>86</v>
      </c>
      <c r="AB6" s="94" t="str">
        <f>IFERROR(ABS(SUM(X14:X19)) / ((X3 - ABS(SUM(X5:X12))) / X3), "")</f>
        <v/>
      </c>
    </row>
    <row r="7" spans="1:28" x14ac:dyDescent="0.25">
      <c r="A7" s="23">
        <v>2</v>
      </c>
      <c r="B7" s="3"/>
      <c r="C7" s="3"/>
      <c r="D7" s="3"/>
      <c r="E7" s="3"/>
      <c r="F7" s="3"/>
      <c r="G7" s="3"/>
      <c r="H7" s="3"/>
      <c r="I7" s="3"/>
      <c r="J7" s="3"/>
      <c r="K7" s="5"/>
      <c r="L7" s="3"/>
      <c r="M7" s="3"/>
      <c r="N7" s="3"/>
      <c r="O7" s="88">
        <f t="shared" si="0"/>
        <v>0</v>
      </c>
      <c r="P7" s="88">
        <f t="shared" si="1"/>
        <v>0</v>
      </c>
      <c r="Q7" s="88">
        <f t="shared" si="2"/>
        <v>0</v>
      </c>
      <c r="R7" s="88">
        <f t="shared" si="3"/>
        <v>0</v>
      </c>
      <c r="S7" s="88">
        <f t="shared" si="4"/>
        <v>0</v>
      </c>
      <c r="T7" s="3"/>
      <c r="U7" s="3">
        <f t="shared" si="5"/>
        <v>0</v>
      </c>
      <c r="W7" s="49" t="s">
        <v>53</v>
      </c>
      <c r="X7" s="55"/>
      <c r="Y7" s="55"/>
    </row>
    <row r="8" spans="1:28" x14ac:dyDescent="0.25">
      <c r="A8" s="23">
        <v>3</v>
      </c>
      <c r="B8" s="3"/>
      <c r="C8" s="3"/>
      <c r="D8" s="3"/>
      <c r="E8" s="3"/>
      <c r="F8" s="3"/>
      <c r="G8" s="3"/>
      <c r="H8" s="3"/>
      <c r="I8" s="3"/>
      <c r="J8" s="3"/>
      <c r="K8" s="5"/>
      <c r="L8" s="3"/>
      <c r="M8" s="3"/>
      <c r="N8" s="3"/>
      <c r="O8" s="88">
        <f t="shared" si="0"/>
        <v>0</v>
      </c>
      <c r="P8" s="88">
        <f t="shared" si="1"/>
        <v>0</v>
      </c>
      <c r="Q8" s="88">
        <f t="shared" si="2"/>
        <v>0</v>
      </c>
      <c r="R8" s="88">
        <f t="shared" si="3"/>
        <v>0</v>
      </c>
      <c r="S8" s="88">
        <f t="shared" si="4"/>
        <v>0</v>
      </c>
      <c r="T8" s="3"/>
      <c r="U8" s="3">
        <f t="shared" si="5"/>
        <v>0</v>
      </c>
      <c r="W8" s="49" t="s">
        <v>41</v>
      </c>
      <c r="X8" s="51">
        <f>(SUM(J4:J33))/31</f>
        <v>0</v>
      </c>
      <c r="Y8" s="51"/>
    </row>
    <row r="9" spans="1:28" x14ac:dyDescent="0.25">
      <c r="A9" s="23">
        <v>4</v>
      </c>
      <c r="B9" s="3"/>
      <c r="C9" s="3"/>
      <c r="D9" s="3"/>
      <c r="E9" s="3"/>
      <c r="F9" s="3"/>
      <c r="G9" s="3"/>
      <c r="H9" s="3"/>
      <c r="I9" s="3"/>
      <c r="J9" s="3"/>
      <c r="K9" s="5"/>
      <c r="L9" s="3"/>
      <c r="M9" s="3"/>
      <c r="N9" s="3"/>
      <c r="O9" s="88">
        <f t="shared" si="0"/>
        <v>0</v>
      </c>
      <c r="P9" s="88">
        <f t="shared" si="1"/>
        <v>0</v>
      </c>
      <c r="Q9" s="88">
        <f t="shared" si="2"/>
        <v>0</v>
      </c>
      <c r="R9" s="88">
        <f t="shared" si="3"/>
        <v>0</v>
      </c>
      <c r="S9" s="88">
        <f t="shared" si="4"/>
        <v>0</v>
      </c>
      <c r="T9" s="3"/>
      <c r="U9" s="3">
        <f t="shared" si="5"/>
        <v>0</v>
      </c>
      <c r="W9" s="49" t="s">
        <v>54</v>
      </c>
      <c r="X9" s="51">
        <f>SUM(L4:L33)</f>
        <v>0</v>
      </c>
      <c r="Y9" s="52"/>
    </row>
    <row r="10" spans="1:28" x14ac:dyDescent="0.25">
      <c r="A10" s="23">
        <v>5</v>
      </c>
      <c r="B10" s="3"/>
      <c r="C10" s="3"/>
      <c r="D10" s="3"/>
      <c r="E10" s="3"/>
      <c r="F10" s="3"/>
      <c r="G10" s="3"/>
      <c r="H10" s="3"/>
      <c r="I10" s="3"/>
      <c r="J10" s="3"/>
      <c r="K10" s="5"/>
      <c r="L10" s="3"/>
      <c r="M10" s="3"/>
      <c r="N10" s="3"/>
      <c r="O10" s="88">
        <f t="shared" si="0"/>
        <v>0</v>
      </c>
      <c r="P10" s="88">
        <f t="shared" si="1"/>
        <v>0</v>
      </c>
      <c r="Q10" s="88">
        <f t="shared" si="2"/>
        <v>0</v>
      </c>
      <c r="R10" s="88">
        <f t="shared" si="3"/>
        <v>0</v>
      </c>
      <c r="S10" s="88">
        <f t="shared" si="4"/>
        <v>0</v>
      </c>
      <c r="T10" s="3"/>
      <c r="U10" s="3">
        <f t="shared" si="5"/>
        <v>0</v>
      </c>
      <c r="W10" s="49" t="s">
        <v>55</v>
      </c>
      <c r="X10" s="51">
        <f>SUM(M4:M33)</f>
        <v>0</v>
      </c>
      <c r="Y10" s="52"/>
    </row>
    <row r="11" spans="1:28" x14ac:dyDescent="0.25">
      <c r="A11" s="23">
        <v>6</v>
      </c>
      <c r="B11" s="19"/>
      <c r="C11" s="3"/>
      <c r="D11" s="3"/>
      <c r="E11" s="3"/>
      <c r="F11" s="3"/>
      <c r="G11" s="3"/>
      <c r="H11" s="3"/>
      <c r="I11" s="3"/>
      <c r="J11" s="3"/>
      <c r="K11" s="5"/>
      <c r="L11" s="3"/>
      <c r="M11" s="3"/>
      <c r="N11" s="3"/>
      <c r="O11" s="88">
        <f t="shared" si="0"/>
        <v>0</v>
      </c>
      <c r="P11" s="88">
        <f t="shared" si="1"/>
        <v>0</v>
      </c>
      <c r="Q11" s="88">
        <f t="shared" si="2"/>
        <v>0</v>
      </c>
      <c r="R11" s="88">
        <f t="shared" si="3"/>
        <v>0</v>
      </c>
      <c r="S11" s="88">
        <f t="shared" si="4"/>
        <v>0</v>
      </c>
      <c r="T11" s="3"/>
      <c r="U11" s="3">
        <f t="shared" si="5"/>
        <v>0</v>
      </c>
      <c r="W11" s="49" t="s">
        <v>94</v>
      </c>
      <c r="X11" s="51">
        <f>SUM(N4:N34)</f>
        <v>0</v>
      </c>
      <c r="Y11" s="52"/>
    </row>
    <row r="12" spans="1:28" x14ac:dyDescent="0.25">
      <c r="A12" s="23">
        <v>7</v>
      </c>
      <c r="B12" s="3"/>
      <c r="C12" s="3"/>
      <c r="D12" s="3"/>
      <c r="E12" s="3"/>
      <c r="F12" s="3"/>
      <c r="G12" s="3"/>
      <c r="H12" s="3"/>
      <c r="I12" s="3"/>
      <c r="J12" s="3"/>
      <c r="K12" s="5"/>
      <c r="L12" s="3"/>
      <c r="M12" s="3"/>
      <c r="N12" s="3"/>
      <c r="O12" s="88">
        <f t="shared" si="0"/>
        <v>0</v>
      </c>
      <c r="P12" s="88">
        <f t="shared" si="1"/>
        <v>0</v>
      </c>
      <c r="Q12" s="88">
        <f t="shared" si="2"/>
        <v>0</v>
      </c>
      <c r="R12" s="88">
        <f t="shared" si="3"/>
        <v>0</v>
      </c>
      <c r="S12" s="88">
        <f t="shared" si="4"/>
        <v>0</v>
      </c>
      <c r="T12" s="3"/>
      <c r="U12" s="3">
        <f t="shared" si="5"/>
        <v>0</v>
      </c>
      <c r="W12" s="49" t="s">
        <v>56</v>
      </c>
      <c r="X12" s="51">
        <f>-X3*X4</f>
        <v>0</v>
      </c>
      <c r="Y12" s="52"/>
    </row>
    <row r="13" spans="1:28" x14ac:dyDescent="0.25">
      <c r="A13" s="23">
        <v>8</v>
      </c>
      <c r="B13" s="3"/>
      <c r="C13" s="3"/>
      <c r="D13" s="3"/>
      <c r="E13" s="3"/>
      <c r="F13" s="3"/>
      <c r="G13" s="3"/>
      <c r="H13" s="3"/>
      <c r="I13" s="3"/>
      <c r="J13" s="3"/>
      <c r="K13" s="5"/>
      <c r="L13" s="3"/>
      <c r="M13" s="3"/>
      <c r="N13" s="3"/>
      <c r="O13" s="88">
        <f t="shared" si="0"/>
        <v>0</v>
      </c>
      <c r="P13" s="88">
        <f t="shared" si="1"/>
        <v>0</v>
      </c>
      <c r="Q13" s="88">
        <f t="shared" si="2"/>
        <v>0</v>
      </c>
      <c r="R13" s="88">
        <f t="shared" si="3"/>
        <v>0</v>
      </c>
      <c r="S13" s="88">
        <f t="shared" si="4"/>
        <v>0</v>
      </c>
      <c r="T13" s="3"/>
      <c r="U13" s="3">
        <f t="shared" si="5"/>
        <v>0</v>
      </c>
      <c r="W13" s="49" t="s">
        <v>57</v>
      </c>
      <c r="X13" s="55"/>
      <c r="Y13" s="52"/>
    </row>
    <row r="14" spans="1:28" x14ac:dyDescent="0.25">
      <c r="A14" s="23">
        <v>9</v>
      </c>
      <c r="B14" s="3"/>
      <c r="C14" s="3"/>
      <c r="D14" s="3"/>
      <c r="E14" s="3"/>
      <c r="F14" s="3"/>
      <c r="G14" s="3"/>
      <c r="H14" s="3"/>
      <c r="I14" s="3"/>
      <c r="J14" s="3"/>
      <c r="K14" s="5"/>
      <c r="L14" s="3"/>
      <c r="M14" s="3"/>
      <c r="N14" s="3"/>
      <c r="O14" s="88">
        <f t="shared" si="0"/>
        <v>0</v>
      </c>
      <c r="P14" s="88">
        <f t="shared" si="1"/>
        <v>0</v>
      </c>
      <c r="Q14" s="88">
        <f t="shared" si="2"/>
        <v>0</v>
      </c>
      <c r="R14" s="88">
        <f t="shared" si="3"/>
        <v>0</v>
      </c>
      <c r="S14" s="88">
        <f t="shared" si="4"/>
        <v>0</v>
      </c>
      <c r="T14" s="3"/>
      <c r="U14" s="3">
        <f t="shared" si="5"/>
        <v>0</v>
      </c>
      <c r="W14" s="49" t="s">
        <v>38</v>
      </c>
      <c r="X14" s="51">
        <f>SUM(T4:T33)</f>
        <v>0</v>
      </c>
      <c r="Y14" s="52"/>
    </row>
    <row r="15" spans="1:28" x14ac:dyDescent="0.25">
      <c r="A15" s="23">
        <v>10</v>
      </c>
      <c r="B15" s="3"/>
      <c r="C15" s="3"/>
      <c r="D15" s="3"/>
      <c r="E15" s="3"/>
      <c r="F15" s="22"/>
      <c r="G15" s="3"/>
      <c r="H15" s="3"/>
      <c r="I15" s="3"/>
      <c r="J15" s="3"/>
      <c r="K15" s="5"/>
      <c r="L15" s="3"/>
      <c r="M15" s="3"/>
      <c r="N15" s="3"/>
      <c r="O15" s="88">
        <f t="shared" si="0"/>
        <v>0</v>
      </c>
      <c r="P15" s="88">
        <f t="shared" si="1"/>
        <v>0</v>
      </c>
      <c r="Q15" s="88">
        <f t="shared" si="2"/>
        <v>0</v>
      </c>
      <c r="R15" s="88">
        <f t="shared" si="3"/>
        <v>0</v>
      </c>
      <c r="S15" s="88">
        <f t="shared" si="4"/>
        <v>0</v>
      </c>
      <c r="T15" s="3"/>
      <c r="U15" s="3">
        <f t="shared" si="5"/>
        <v>0</v>
      </c>
      <c r="W15" s="49" t="s">
        <v>37</v>
      </c>
      <c r="X15" s="55"/>
      <c r="Y15" s="52"/>
    </row>
    <row r="16" spans="1:28" x14ac:dyDescent="0.25">
      <c r="A16" s="23">
        <v>11</v>
      </c>
      <c r="B16" s="3"/>
      <c r="C16" s="3"/>
      <c r="D16" s="3"/>
      <c r="E16" s="3"/>
      <c r="F16" s="3"/>
      <c r="G16" s="3"/>
      <c r="H16" s="3"/>
      <c r="I16" s="3"/>
      <c r="J16" s="3"/>
      <c r="K16" s="5"/>
      <c r="L16" s="3"/>
      <c r="M16" s="3"/>
      <c r="N16" s="3"/>
      <c r="O16" s="88">
        <f t="shared" si="0"/>
        <v>0</v>
      </c>
      <c r="P16" s="88">
        <f t="shared" si="1"/>
        <v>0</v>
      </c>
      <c r="Q16" s="88">
        <f t="shared" si="2"/>
        <v>0</v>
      </c>
      <c r="R16" s="88">
        <f t="shared" si="3"/>
        <v>0</v>
      </c>
      <c r="S16" s="88">
        <f t="shared" si="4"/>
        <v>0</v>
      </c>
      <c r="T16" s="3"/>
      <c r="U16" s="3">
        <f t="shared" si="5"/>
        <v>0</v>
      </c>
      <c r="W16" s="49" t="s">
        <v>35</v>
      </c>
      <c r="X16" s="55"/>
      <c r="Y16" s="52"/>
    </row>
    <row r="17" spans="1:27" x14ac:dyDescent="0.25">
      <c r="A17" s="23">
        <v>12</v>
      </c>
      <c r="B17" s="3"/>
      <c r="C17" s="3"/>
      <c r="D17" s="3"/>
      <c r="E17" s="3"/>
      <c r="F17" s="3"/>
      <c r="G17" s="3"/>
      <c r="H17" s="3"/>
      <c r="I17" s="3"/>
      <c r="J17" s="3"/>
      <c r="K17" s="5"/>
      <c r="L17" s="3"/>
      <c r="M17" s="3"/>
      <c r="N17" s="3"/>
      <c r="O17" s="88">
        <f t="shared" si="0"/>
        <v>0</v>
      </c>
      <c r="P17" s="88">
        <f t="shared" si="1"/>
        <v>0</v>
      </c>
      <c r="Q17" s="88">
        <f t="shared" si="2"/>
        <v>0</v>
      </c>
      <c r="R17" s="88">
        <f t="shared" si="3"/>
        <v>0</v>
      </c>
      <c r="S17" s="88">
        <f t="shared" si="4"/>
        <v>0</v>
      </c>
      <c r="T17" s="3"/>
      <c r="U17" s="3">
        <f t="shared" si="5"/>
        <v>0</v>
      </c>
      <c r="W17" s="49" t="s">
        <v>58</v>
      </c>
      <c r="X17" s="55">
        <v>0</v>
      </c>
      <c r="Y17" s="52"/>
    </row>
    <row r="18" spans="1:27" x14ac:dyDescent="0.25">
      <c r="A18" s="23">
        <v>13</v>
      </c>
      <c r="B18" s="3"/>
      <c r="C18" s="3"/>
      <c r="D18" s="3"/>
      <c r="E18" s="3"/>
      <c r="F18" s="3"/>
      <c r="G18" s="3"/>
      <c r="H18" s="3"/>
      <c r="I18" s="3"/>
      <c r="J18" s="3"/>
      <c r="K18" s="5"/>
      <c r="L18" s="3"/>
      <c r="M18" s="3"/>
      <c r="N18" s="3"/>
      <c r="O18" s="88">
        <f t="shared" si="0"/>
        <v>0</v>
      </c>
      <c r="P18" s="88">
        <f t="shared" si="1"/>
        <v>0</v>
      </c>
      <c r="Q18" s="88">
        <f t="shared" si="2"/>
        <v>0</v>
      </c>
      <c r="R18" s="88">
        <f t="shared" si="3"/>
        <v>0</v>
      </c>
      <c r="S18" s="88">
        <f t="shared" si="4"/>
        <v>0</v>
      </c>
      <c r="T18" s="3"/>
      <c r="U18" s="3">
        <f t="shared" si="5"/>
        <v>0</v>
      </c>
      <c r="W18" s="49" t="s">
        <v>90</v>
      </c>
      <c r="X18" s="55"/>
      <c r="Y18" s="52"/>
    </row>
    <row r="19" spans="1:27" x14ac:dyDescent="0.25">
      <c r="A19" s="23">
        <v>14</v>
      </c>
      <c r="B19" s="3"/>
      <c r="C19" s="3"/>
      <c r="D19" s="3"/>
      <c r="E19" s="3"/>
      <c r="F19" s="3"/>
      <c r="G19" s="3"/>
      <c r="H19" s="3"/>
      <c r="I19" s="3"/>
      <c r="J19" s="3"/>
      <c r="K19" s="5"/>
      <c r="L19" s="3"/>
      <c r="M19" s="3"/>
      <c r="N19" s="3"/>
      <c r="O19" s="88">
        <f t="shared" si="0"/>
        <v>0</v>
      </c>
      <c r="P19" s="88">
        <f t="shared" si="1"/>
        <v>0</v>
      </c>
      <c r="Q19" s="88">
        <f t="shared" si="2"/>
        <v>0</v>
      </c>
      <c r="R19" s="88">
        <f t="shared" si="3"/>
        <v>0</v>
      </c>
      <c r="S19" s="88">
        <f t="shared" si="4"/>
        <v>0</v>
      </c>
      <c r="T19" s="3"/>
      <c r="U19" s="3">
        <f t="shared" si="5"/>
        <v>0</v>
      </c>
      <c r="W19" s="49" t="s">
        <v>91</v>
      </c>
      <c r="X19" s="51">
        <f>(X18*20%)+(-X21*11%)</f>
        <v>0</v>
      </c>
      <c r="Y19" s="52"/>
    </row>
    <row r="20" spans="1:27" x14ac:dyDescent="0.25">
      <c r="A20" s="23">
        <v>15</v>
      </c>
      <c r="B20" s="3"/>
      <c r="C20" s="3"/>
      <c r="D20" s="3"/>
      <c r="E20" s="3"/>
      <c r="F20" s="3"/>
      <c r="G20" s="3"/>
      <c r="H20" s="3"/>
      <c r="I20" s="3"/>
      <c r="J20" s="3"/>
      <c r="K20" s="5"/>
      <c r="L20" s="3"/>
      <c r="M20" s="3"/>
      <c r="N20" s="3"/>
      <c r="O20" s="88">
        <f t="shared" si="0"/>
        <v>0</v>
      </c>
      <c r="P20" s="88">
        <f t="shared" si="1"/>
        <v>0</v>
      </c>
      <c r="Q20" s="88">
        <f t="shared" si="2"/>
        <v>0</v>
      </c>
      <c r="R20" s="88">
        <f t="shared" si="3"/>
        <v>0</v>
      </c>
      <c r="S20" s="88">
        <f t="shared" si="4"/>
        <v>0</v>
      </c>
      <c r="T20" s="3"/>
      <c r="U20" s="3">
        <f t="shared" si="5"/>
        <v>0</v>
      </c>
      <c r="W20" s="49" t="s">
        <v>42</v>
      </c>
      <c r="X20" s="55"/>
      <c r="Y20" s="52"/>
    </row>
    <row r="21" spans="1:27" ht="15.75" thickBot="1" x14ac:dyDescent="0.3">
      <c r="A21" s="23">
        <v>16</v>
      </c>
      <c r="B21" s="3"/>
      <c r="C21" s="3"/>
      <c r="D21" s="3"/>
      <c r="E21" s="3"/>
      <c r="F21" s="3"/>
      <c r="G21" s="3"/>
      <c r="H21" s="3"/>
      <c r="I21" s="3"/>
      <c r="J21" s="3"/>
      <c r="K21" s="5"/>
      <c r="L21" s="3"/>
      <c r="M21" s="3"/>
      <c r="N21" s="3"/>
      <c r="O21" s="88">
        <f t="shared" si="0"/>
        <v>0</v>
      </c>
      <c r="P21" s="88">
        <f t="shared" si="1"/>
        <v>0</v>
      </c>
      <c r="Q21" s="88">
        <f t="shared" si="2"/>
        <v>0</v>
      </c>
      <c r="R21" s="88">
        <f t="shared" si="3"/>
        <v>0</v>
      </c>
      <c r="S21" s="88">
        <f t="shared" si="4"/>
        <v>0</v>
      </c>
      <c r="T21" s="3"/>
      <c r="U21" s="3">
        <f t="shared" si="5"/>
        <v>0</v>
      </c>
      <c r="W21" s="50" t="s">
        <v>43</v>
      </c>
      <c r="X21" s="56">
        <f>X3+X5+X6+X9+X10+X12+X13+X15+X16+X17+X18+X20+X7</f>
        <v>0</v>
      </c>
      <c r="Y21" s="35">
        <f>Y3+Y5+Y6+Y7+Y9+Y10+Y12+Y13+Y15+Y16+Y17+Y18+Y20</f>
        <v>0</v>
      </c>
      <c r="Z21" s="1"/>
      <c r="AA21" s="1"/>
    </row>
    <row r="22" spans="1:27" ht="15.75" thickBot="1" x14ac:dyDescent="0.3">
      <c r="A22" s="23">
        <v>17</v>
      </c>
      <c r="B22" s="3"/>
      <c r="C22" s="3"/>
      <c r="D22" s="3"/>
      <c r="E22" s="3"/>
      <c r="F22" s="3"/>
      <c r="G22" s="3"/>
      <c r="H22" s="3"/>
      <c r="I22" s="3"/>
      <c r="J22" s="3"/>
      <c r="K22" s="5"/>
      <c r="L22" s="3"/>
      <c r="M22" s="3"/>
      <c r="N22" s="3"/>
      <c r="O22" s="88">
        <f t="shared" si="0"/>
        <v>0</v>
      </c>
      <c r="P22" s="88">
        <f t="shared" si="1"/>
        <v>0</v>
      </c>
      <c r="Q22" s="88">
        <f t="shared" si="2"/>
        <v>0</v>
      </c>
      <c r="R22" s="88">
        <f t="shared" si="3"/>
        <v>0</v>
      </c>
      <c r="S22" s="88">
        <f t="shared" si="4"/>
        <v>0</v>
      </c>
      <c r="T22" s="3"/>
      <c r="U22" s="3">
        <f t="shared" si="5"/>
        <v>0</v>
      </c>
      <c r="W22" s="50" t="s">
        <v>92</v>
      </c>
      <c r="X22" s="56">
        <f>X3+X5+X6+X7+X9+X10+X12+X13+X14+X15+X16+X17+X18+X19+X20</f>
        <v>0</v>
      </c>
      <c r="Y22" s="35">
        <f>Y3+Y5+Y6+Y7+Y9+Y10+Y12+Y13+Y15+Y16+Y17+Y18+Y19+Y20</f>
        <v>0</v>
      </c>
    </row>
    <row r="23" spans="1:27" x14ac:dyDescent="0.25">
      <c r="A23" s="23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88">
        <f t="shared" si="0"/>
        <v>0</v>
      </c>
      <c r="P23" s="88">
        <f t="shared" si="1"/>
        <v>0</v>
      </c>
      <c r="Q23" s="88">
        <f t="shared" si="2"/>
        <v>0</v>
      </c>
      <c r="R23" s="88">
        <f t="shared" si="3"/>
        <v>0</v>
      </c>
      <c r="S23" s="88">
        <f t="shared" si="4"/>
        <v>0</v>
      </c>
      <c r="T23" s="3"/>
      <c r="U23" s="3">
        <f t="shared" si="5"/>
        <v>0</v>
      </c>
    </row>
    <row r="24" spans="1:27" x14ac:dyDescent="0.25">
      <c r="A24" s="23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88">
        <f t="shared" si="0"/>
        <v>0</v>
      </c>
      <c r="P24" s="88">
        <f t="shared" si="1"/>
        <v>0</v>
      </c>
      <c r="Q24" s="88">
        <f t="shared" si="2"/>
        <v>0</v>
      </c>
      <c r="R24" s="88">
        <f t="shared" si="3"/>
        <v>0</v>
      </c>
      <c r="S24" s="88">
        <f t="shared" si="4"/>
        <v>0</v>
      </c>
      <c r="T24" s="3"/>
      <c r="U24" s="3">
        <f t="shared" si="5"/>
        <v>0</v>
      </c>
      <c r="W24" s="13" t="s">
        <v>44</v>
      </c>
      <c r="X24" s="36">
        <f>X6+X5+X14+X13</f>
        <v>0</v>
      </c>
      <c r="Y24" s="14"/>
    </row>
    <row r="25" spans="1:27" x14ac:dyDescent="0.25">
      <c r="A25" s="23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88">
        <f t="shared" si="0"/>
        <v>0</v>
      </c>
      <c r="P25" s="88">
        <f t="shared" si="1"/>
        <v>0</v>
      </c>
      <c r="Q25" s="88">
        <f t="shared" si="2"/>
        <v>0</v>
      </c>
      <c r="R25" s="88">
        <f t="shared" si="3"/>
        <v>0</v>
      </c>
      <c r="S25" s="88">
        <f t="shared" si="4"/>
        <v>0</v>
      </c>
      <c r="T25" s="3"/>
      <c r="U25" s="3">
        <f t="shared" si="5"/>
        <v>0</v>
      </c>
    </row>
    <row r="26" spans="1:27" x14ac:dyDescent="0.25">
      <c r="A26" s="23">
        <v>21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88">
        <f t="shared" si="0"/>
        <v>0</v>
      </c>
      <c r="P26" s="88">
        <f t="shared" si="1"/>
        <v>0</v>
      </c>
      <c r="Q26" s="88">
        <f t="shared" si="2"/>
        <v>0</v>
      </c>
      <c r="R26" s="88">
        <f t="shared" si="3"/>
        <v>0</v>
      </c>
      <c r="S26" s="88">
        <f t="shared" si="4"/>
        <v>0</v>
      </c>
      <c r="T26" s="3"/>
      <c r="U26" s="3">
        <f t="shared" si="5"/>
        <v>0</v>
      </c>
      <c r="W26" s="1"/>
    </row>
    <row r="27" spans="1:27" x14ac:dyDescent="0.25">
      <c r="A27" s="23">
        <v>22</v>
      </c>
      <c r="B27" s="3"/>
      <c r="C27" s="3"/>
      <c r="D27" s="3"/>
      <c r="E27" s="3"/>
      <c r="F27" s="22"/>
      <c r="G27" s="3"/>
      <c r="H27" s="3"/>
      <c r="I27" s="3"/>
      <c r="J27" s="3"/>
      <c r="K27" s="5"/>
      <c r="L27" s="3"/>
      <c r="M27" s="3"/>
      <c r="N27" s="3"/>
      <c r="O27" s="88">
        <f t="shared" si="0"/>
        <v>0</v>
      </c>
      <c r="P27" s="88">
        <f t="shared" si="1"/>
        <v>0</v>
      </c>
      <c r="Q27" s="88">
        <f t="shared" si="2"/>
        <v>0</v>
      </c>
      <c r="R27" s="88">
        <f t="shared" si="3"/>
        <v>0</v>
      </c>
      <c r="S27" s="88">
        <f t="shared" si="4"/>
        <v>0</v>
      </c>
      <c r="T27" s="3"/>
      <c r="U27" s="3">
        <f t="shared" si="5"/>
        <v>0</v>
      </c>
      <c r="W27" s="11" t="s">
        <v>45</v>
      </c>
      <c r="X27" s="42">
        <f>(X22*X30)</f>
        <v>0</v>
      </c>
      <c r="Y27" s="12">
        <f>Y22*50%</f>
        <v>0</v>
      </c>
    </row>
    <row r="28" spans="1:27" x14ac:dyDescent="0.25">
      <c r="A28" s="23">
        <v>23</v>
      </c>
      <c r="B28" s="3"/>
      <c r="C28" s="3"/>
      <c r="D28" s="3"/>
      <c r="E28" s="3"/>
      <c r="F28" s="22"/>
      <c r="G28" s="3"/>
      <c r="H28" s="3"/>
      <c r="I28" s="3"/>
      <c r="J28" s="3"/>
      <c r="K28" s="5"/>
      <c r="L28" s="3"/>
      <c r="M28" s="3"/>
      <c r="N28" s="3"/>
      <c r="O28" s="88">
        <f t="shared" si="0"/>
        <v>0</v>
      </c>
      <c r="P28" s="88">
        <f t="shared" si="1"/>
        <v>0</v>
      </c>
      <c r="Q28" s="88">
        <f t="shared" si="2"/>
        <v>0</v>
      </c>
      <c r="R28" s="88">
        <f t="shared" si="3"/>
        <v>0</v>
      </c>
      <c r="S28" s="88">
        <f t="shared" si="4"/>
        <v>0</v>
      </c>
      <c r="T28" s="3"/>
      <c r="U28" s="3">
        <f t="shared" si="5"/>
        <v>0</v>
      </c>
      <c r="W28" s="11" t="s">
        <v>46</v>
      </c>
      <c r="X28" s="42">
        <f>X22*X31</f>
        <v>0</v>
      </c>
      <c r="Y28" s="12">
        <f>Y22*X31</f>
        <v>0</v>
      </c>
    </row>
    <row r="29" spans="1:27" ht="15.75" thickBot="1" x14ac:dyDescent="0.3">
      <c r="A29" s="23">
        <v>24</v>
      </c>
      <c r="B29" s="3"/>
      <c r="C29" s="3"/>
      <c r="D29" s="3"/>
      <c r="E29" s="3"/>
      <c r="F29" s="22"/>
      <c r="G29" s="3"/>
      <c r="H29" s="3"/>
      <c r="I29" s="3"/>
      <c r="J29" s="3"/>
      <c r="K29" s="5"/>
      <c r="L29" s="3"/>
      <c r="M29" s="3"/>
      <c r="N29" s="3"/>
      <c r="O29" s="88">
        <f t="shared" si="0"/>
        <v>0</v>
      </c>
      <c r="P29" s="88">
        <f t="shared" si="1"/>
        <v>0</v>
      </c>
      <c r="Q29" s="88">
        <f t="shared" si="2"/>
        <v>0</v>
      </c>
      <c r="R29" s="88">
        <f t="shared" si="3"/>
        <v>0</v>
      </c>
      <c r="S29" s="88">
        <f t="shared" si="4"/>
        <v>0</v>
      </c>
      <c r="T29" s="3"/>
      <c r="U29" s="3">
        <f t="shared" si="5"/>
        <v>0</v>
      </c>
      <c r="Y29" s="1"/>
    </row>
    <row r="30" spans="1:27" ht="15.75" thickBot="1" x14ac:dyDescent="0.3">
      <c r="A30" s="23">
        <v>25</v>
      </c>
      <c r="B30" s="3"/>
      <c r="C30" s="3"/>
      <c r="D30" s="3"/>
      <c r="E30" s="3"/>
      <c r="F30" s="22"/>
      <c r="G30" s="3"/>
      <c r="H30" s="3"/>
      <c r="I30" s="3"/>
      <c r="J30" s="3"/>
      <c r="K30" s="5"/>
      <c r="L30" s="5"/>
      <c r="M30" s="3"/>
      <c r="N30" s="3"/>
      <c r="O30" s="88">
        <f t="shared" si="0"/>
        <v>0</v>
      </c>
      <c r="P30" s="88">
        <f t="shared" si="1"/>
        <v>0</v>
      </c>
      <c r="Q30" s="88">
        <f t="shared" si="2"/>
        <v>0</v>
      </c>
      <c r="R30" s="88">
        <f t="shared" si="3"/>
        <v>0</v>
      </c>
      <c r="S30" s="88">
        <f t="shared" si="4"/>
        <v>0</v>
      </c>
      <c r="T30" s="3"/>
      <c r="U30" s="3">
        <f t="shared" si="5"/>
        <v>0</v>
      </c>
      <c r="W30" s="46" t="s">
        <v>73</v>
      </c>
      <c r="X30" s="47">
        <v>0.5</v>
      </c>
    </row>
    <row r="31" spans="1:27" ht="15.75" thickBot="1" x14ac:dyDescent="0.3">
      <c r="A31" s="23">
        <v>26</v>
      </c>
      <c r="B31" s="3"/>
      <c r="C31" s="3"/>
      <c r="D31" s="3"/>
      <c r="E31" s="3"/>
      <c r="F31" s="22"/>
      <c r="G31" s="3"/>
      <c r="H31" s="3"/>
      <c r="I31" s="3"/>
      <c r="J31" s="3"/>
      <c r="K31" s="5"/>
      <c r="L31" s="3"/>
      <c r="M31" s="3"/>
      <c r="N31" s="3"/>
      <c r="O31" s="88">
        <f t="shared" si="0"/>
        <v>0</v>
      </c>
      <c r="P31" s="88">
        <f t="shared" si="1"/>
        <v>0</v>
      </c>
      <c r="Q31" s="88">
        <f t="shared" si="2"/>
        <v>0</v>
      </c>
      <c r="R31" s="88">
        <f t="shared" si="3"/>
        <v>0</v>
      </c>
      <c r="S31" s="88">
        <f t="shared" si="4"/>
        <v>0</v>
      </c>
      <c r="T31" s="3"/>
      <c r="U31" s="3">
        <f t="shared" si="5"/>
        <v>0</v>
      </c>
      <c r="W31" s="46" t="s">
        <v>46</v>
      </c>
      <c r="X31" s="48">
        <v>0.5</v>
      </c>
      <c r="Z31" s="118"/>
      <c r="AA31" s="119"/>
    </row>
    <row r="32" spans="1:27" ht="15.75" thickBot="1" x14ac:dyDescent="0.3">
      <c r="A32" s="23">
        <v>27</v>
      </c>
      <c r="B32" s="3"/>
      <c r="C32" s="3"/>
      <c r="D32" s="3"/>
      <c r="E32" s="3"/>
      <c r="F32" s="22"/>
      <c r="G32" s="3"/>
      <c r="H32" s="3"/>
      <c r="I32" s="3"/>
      <c r="J32" s="3"/>
      <c r="K32" s="5"/>
      <c r="L32" s="3"/>
      <c r="M32" s="3"/>
      <c r="N32" s="3"/>
      <c r="O32" s="88">
        <f t="shared" si="0"/>
        <v>0</v>
      </c>
      <c r="P32" s="88">
        <f t="shared" si="1"/>
        <v>0</v>
      </c>
      <c r="Q32" s="88">
        <f t="shared" si="2"/>
        <v>0</v>
      </c>
      <c r="R32" s="88">
        <f t="shared" si="3"/>
        <v>0</v>
      </c>
      <c r="S32" s="88">
        <f t="shared" si="4"/>
        <v>0</v>
      </c>
      <c r="T32" s="3"/>
      <c r="U32" s="3">
        <f t="shared" si="5"/>
        <v>0</v>
      </c>
      <c r="W32" s="1"/>
      <c r="X32" s="40"/>
      <c r="Y32" s="117" t="s">
        <v>71</v>
      </c>
      <c r="Z32" s="44"/>
      <c r="AA32" s="45"/>
    </row>
    <row r="33" spans="1:28" s="1" customFormat="1" ht="15.75" thickBot="1" x14ac:dyDescent="0.3">
      <c r="A33" s="23">
        <v>28</v>
      </c>
      <c r="B33" s="3"/>
      <c r="C33" s="3"/>
      <c r="D33" s="3"/>
      <c r="E33" s="3"/>
      <c r="F33" s="22"/>
      <c r="G33" s="3"/>
      <c r="H33" s="3"/>
      <c r="I33" s="3"/>
      <c r="J33" s="3"/>
      <c r="K33" s="5"/>
      <c r="L33" s="3"/>
      <c r="M33" s="3"/>
      <c r="N33" s="3"/>
      <c r="O33" s="88">
        <f t="shared" si="0"/>
        <v>0</v>
      </c>
      <c r="P33" s="88">
        <f t="shared" si="1"/>
        <v>0</v>
      </c>
      <c r="Q33" s="88">
        <f t="shared" si="2"/>
        <v>0</v>
      </c>
      <c r="R33" s="88">
        <f t="shared" si="3"/>
        <v>0</v>
      </c>
      <c r="S33" s="88">
        <f t="shared" si="4"/>
        <v>0</v>
      </c>
      <c r="T33" s="3"/>
      <c r="U33" s="3">
        <f t="shared" si="5"/>
        <v>0</v>
      </c>
      <c r="V33" s="6"/>
      <c r="X33" s="41"/>
      <c r="Y33" s="43" t="s">
        <v>72</v>
      </c>
      <c r="Z33" s="6"/>
      <c r="AA33" s="6"/>
      <c r="AB33" s="6"/>
    </row>
    <row r="34" spans="1:28" s="1" customFormat="1" x14ac:dyDescent="0.25">
      <c r="A34" s="23">
        <v>29</v>
      </c>
      <c r="B34" s="3"/>
      <c r="C34" s="3"/>
      <c r="D34" s="3"/>
      <c r="E34" s="3"/>
      <c r="F34" s="22"/>
      <c r="G34" s="3"/>
      <c r="H34" s="3"/>
      <c r="I34" s="3"/>
      <c r="J34" s="3"/>
      <c r="K34" s="5"/>
      <c r="L34" s="3"/>
      <c r="M34" s="3"/>
      <c r="N34" s="3"/>
      <c r="O34" s="88">
        <f t="shared" si="0"/>
        <v>0</v>
      </c>
      <c r="P34" s="88">
        <f t="shared" si="1"/>
        <v>0</v>
      </c>
      <c r="Q34" s="88">
        <f t="shared" si="2"/>
        <v>0</v>
      </c>
      <c r="R34" s="88">
        <f t="shared" si="3"/>
        <v>0</v>
      </c>
      <c r="S34" s="88">
        <f t="shared" si="4"/>
        <v>0</v>
      </c>
      <c r="T34" s="3"/>
      <c r="U34" s="3">
        <f t="shared" si="5"/>
        <v>0</v>
      </c>
      <c r="V34" s="6"/>
      <c r="W34" s="6"/>
      <c r="Y34" s="6"/>
      <c r="Z34" s="6"/>
      <c r="AA34" s="6"/>
      <c r="AB34" s="6"/>
    </row>
    <row r="35" spans="1:28" s="1" customFormat="1" x14ac:dyDescent="0.25">
      <c r="A35" s="20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Y35" s="6"/>
      <c r="Z35" s="6"/>
      <c r="AA35" s="6"/>
      <c r="AB35" s="6"/>
    </row>
    <row r="36" spans="1:28" s="1" customFormat="1" x14ac:dyDescent="0.25">
      <c r="A36" s="139" t="s">
        <v>47</v>
      </c>
      <c r="B36" s="139"/>
      <c r="C36" s="21">
        <f>SUM(C4:C34)</f>
        <v>0</v>
      </c>
      <c r="D36" s="21">
        <f t="shared" ref="D36:I36" si="6">SUM(D4:D34)</f>
        <v>0</v>
      </c>
      <c r="E36" s="21">
        <f t="shared" si="6"/>
        <v>0</v>
      </c>
      <c r="F36" s="21">
        <f t="shared" si="6"/>
        <v>0</v>
      </c>
      <c r="G36" s="21">
        <f t="shared" si="6"/>
        <v>0</v>
      </c>
      <c r="H36" s="21">
        <f t="shared" si="6"/>
        <v>0</v>
      </c>
      <c r="I36" s="21">
        <f t="shared" si="6"/>
        <v>0</v>
      </c>
      <c r="J36" s="18"/>
      <c r="K36" s="1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Y36" s="6"/>
      <c r="Z36" s="6"/>
      <c r="AA36" s="6"/>
      <c r="AB36" s="6"/>
    </row>
    <row r="37" spans="1:28" s="1" customFormat="1" x14ac:dyDescent="0.25">
      <c r="A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Y37" s="6"/>
      <c r="Z37" s="6"/>
      <c r="AA37" s="6"/>
      <c r="AB37" s="6"/>
    </row>
    <row r="38" spans="1:28" s="1" customFormat="1" x14ac:dyDescent="0.25">
      <c r="A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Y38" s="6"/>
      <c r="Z38" s="6"/>
      <c r="AA38" s="6"/>
      <c r="AB38" s="6"/>
    </row>
    <row r="39" spans="1:28" s="1" customFormat="1" x14ac:dyDescent="0.25">
      <c r="A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Y39" s="6"/>
      <c r="Z39" s="6"/>
      <c r="AA39" s="6"/>
      <c r="AB39" s="6"/>
    </row>
    <row r="464" spans="25:25" x14ac:dyDescent="0.25">
      <c r="Y464" s="1"/>
    </row>
  </sheetData>
  <mergeCells count="2">
    <mergeCell ref="A1:U2"/>
    <mergeCell ref="A36:B36"/>
  </mergeCells>
  <pageMargins left="0.7" right="0.7" top="0.75" bottom="0.75" header="0.3" footer="0.3"/>
  <pageSetup paperSize="256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2B874-376D-4F40-ABE7-F1069C6F0842}">
  <dimension ref="A1:AB464"/>
  <sheetViews>
    <sheetView topLeftCell="L1" workbookViewId="0">
      <selection activeCell="X5" sqref="X5"/>
    </sheetView>
  </sheetViews>
  <sheetFormatPr defaultRowHeight="15" x14ac:dyDescent="0.25"/>
  <cols>
    <col min="1" max="1" width="4.28515625" style="6" bestFit="1" customWidth="1"/>
    <col min="2" max="2" width="15.28515625" style="1" bestFit="1" customWidth="1"/>
    <col min="3" max="3" width="15.85546875" style="6" bestFit="1" customWidth="1"/>
    <col min="4" max="4" width="16.85546875" style="6" bestFit="1" customWidth="1"/>
    <col min="5" max="9" width="16.85546875" style="6" customWidth="1"/>
    <col min="10" max="10" width="14.28515625" style="6" bestFit="1" customWidth="1"/>
    <col min="11" max="12" width="10.7109375" style="6" bestFit="1" customWidth="1"/>
    <col min="13" max="13" width="12.5703125" style="6" bestFit="1" customWidth="1"/>
    <col min="14" max="14" width="12.5703125" style="6" customWidth="1"/>
    <col min="15" max="15" width="9.42578125" style="6" bestFit="1" customWidth="1"/>
    <col min="16" max="16" width="11.28515625" style="6" bestFit="1" customWidth="1"/>
    <col min="17" max="17" width="15.140625" style="6" bestFit="1" customWidth="1"/>
    <col min="18" max="19" width="8.28515625" style="6" bestFit="1" customWidth="1"/>
    <col min="20" max="20" width="14.5703125" style="6" bestFit="1" customWidth="1"/>
    <col min="21" max="21" width="19" style="6" bestFit="1" customWidth="1"/>
    <col min="22" max="22" width="15.85546875" style="6" customWidth="1"/>
    <col min="23" max="23" width="28.85546875" style="6" bestFit="1" customWidth="1"/>
    <col min="24" max="24" width="11.7109375" style="1" bestFit="1" customWidth="1"/>
    <col min="25" max="25" width="10.7109375" style="6" bestFit="1" customWidth="1"/>
    <col min="26" max="26" width="15.28515625" style="6" bestFit="1" customWidth="1"/>
    <col min="27" max="27" width="21.7109375" style="6" bestFit="1" customWidth="1"/>
    <col min="28" max="28" width="15.85546875" style="6" customWidth="1"/>
    <col min="29" max="16384" width="9.140625" style="6"/>
  </cols>
  <sheetData>
    <row r="1" spans="1:28" ht="15.75" thickBot="1" x14ac:dyDescent="0.3">
      <c r="A1" s="138" t="s">
        <v>67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</row>
    <row r="2" spans="1:28" x14ac:dyDescent="0.25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W2" s="62"/>
      <c r="X2" s="63" t="s">
        <v>49</v>
      </c>
      <c r="Y2" s="64" t="s">
        <v>50</v>
      </c>
    </row>
    <row r="3" spans="1:28" x14ac:dyDescent="0.25">
      <c r="A3" s="9" t="s">
        <v>21</v>
      </c>
      <c r="B3" s="7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9" t="s">
        <v>31</v>
      </c>
      <c r="L3" s="8" t="s">
        <v>32</v>
      </c>
      <c r="M3" s="8" t="s">
        <v>33</v>
      </c>
      <c r="N3" s="8" t="s">
        <v>94</v>
      </c>
      <c r="O3" s="8" t="s">
        <v>34</v>
      </c>
      <c r="P3" s="8" t="s">
        <v>58</v>
      </c>
      <c r="Q3" s="8" t="s">
        <v>35</v>
      </c>
      <c r="R3" s="8" t="s">
        <v>36</v>
      </c>
      <c r="S3" s="8" t="s">
        <v>37</v>
      </c>
      <c r="T3" s="8" t="s">
        <v>38</v>
      </c>
      <c r="U3" s="9" t="s">
        <v>39</v>
      </c>
      <c r="W3" s="49" t="s">
        <v>17</v>
      </c>
      <c r="X3" s="51">
        <f>SUM(C35:I35)</f>
        <v>0</v>
      </c>
      <c r="Y3" s="51"/>
      <c r="AA3" s="60" t="s">
        <v>75</v>
      </c>
      <c r="AB3" s="60" t="s">
        <v>74</v>
      </c>
    </row>
    <row r="4" spans="1:28" x14ac:dyDescent="0.25">
      <c r="A4" s="23">
        <v>30</v>
      </c>
      <c r="B4" s="19"/>
      <c r="C4" s="4"/>
      <c r="D4" s="4"/>
      <c r="E4" s="4"/>
      <c r="F4" s="4"/>
      <c r="G4" s="4"/>
      <c r="H4" s="4"/>
      <c r="I4" s="4"/>
      <c r="J4" s="4"/>
      <c r="K4" s="10"/>
      <c r="L4" s="3"/>
      <c r="M4" s="3"/>
      <c r="N4" s="3"/>
      <c r="O4" s="88">
        <f>$X$18/30</f>
        <v>0</v>
      </c>
      <c r="P4" s="88">
        <f>$X$17/30</f>
        <v>0</v>
      </c>
      <c r="Q4" s="88">
        <f>$X$16/30</f>
        <v>0</v>
      </c>
      <c r="R4" s="88">
        <f>$X$19/30</f>
        <v>0</v>
      </c>
      <c r="S4" s="88">
        <f>$X$15/30</f>
        <v>0</v>
      </c>
      <c r="T4" s="3"/>
      <c r="U4" s="3">
        <f>C4+B4+K4+L4+M4+O4+P4+Q4+R4+S4+T4+D4+E4+F4+G4+I4+H4</f>
        <v>0</v>
      </c>
      <c r="W4" s="49" t="s">
        <v>40</v>
      </c>
      <c r="X4" s="53">
        <v>0.04</v>
      </c>
      <c r="Y4" s="53"/>
      <c r="AA4" s="58" t="str">
        <f>IFERROR(-(X3/(X6+X7)),"")</f>
        <v/>
      </c>
      <c r="AB4" s="59" t="str">
        <f>IF($AA$4 &gt; 12, "⭐ Excelente", IF($AA$4 &gt;= 6, "✅ Saudável", IF($AA$4 &lt; 5, "🛑 Perigo", "⚠️ Atenção")))</f>
        <v>⭐ Excelente</v>
      </c>
    </row>
    <row r="5" spans="1:28" x14ac:dyDescent="0.25">
      <c r="A5" s="23">
        <v>31</v>
      </c>
      <c r="B5" s="19"/>
      <c r="C5" s="3"/>
      <c r="D5" s="3"/>
      <c r="E5" s="3"/>
      <c r="F5" s="3"/>
      <c r="G5" s="3"/>
      <c r="H5" s="3"/>
      <c r="I5" s="3"/>
      <c r="J5" s="3"/>
      <c r="K5" s="5"/>
      <c r="L5" s="3"/>
      <c r="M5" s="3"/>
      <c r="N5" s="3"/>
      <c r="O5" s="88">
        <f t="shared" ref="O5:O34" si="0">$X$18/30</f>
        <v>0</v>
      </c>
      <c r="P5" s="88">
        <f t="shared" ref="P5:P34" si="1">$X$17/30</f>
        <v>0</v>
      </c>
      <c r="Q5" s="88">
        <f t="shared" ref="Q5:Q34" si="2">$X$16/30</f>
        <v>0</v>
      </c>
      <c r="R5" s="88">
        <f t="shared" ref="R5:R34" si="3">$X$19/30</f>
        <v>0</v>
      </c>
      <c r="S5" s="88">
        <f t="shared" ref="S5:S34" si="4">$X$15/30</f>
        <v>0</v>
      </c>
      <c r="T5" s="3"/>
      <c r="U5" s="3">
        <f t="shared" ref="U5:U34" si="5">C5+B5+K5+L5+M5+O5+P5+Q5+R5+S5+T5+D5+E5+F5+G5+I5+H5</f>
        <v>0</v>
      </c>
      <c r="W5" s="49" t="s">
        <v>51</v>
      </c>
      <c r="X5" s="51">
        <f>SUM(B4:B33)</f>
        <v>0</v>
      </c>
      <c r="Y5" s="52"/>
      <c r="Z5" s="1"/>
      <c r="AB5" s="1"/>
    </row>
    <row r="6" spans="1:28" x14ac:dyDescent="0.25">
      <c r="A6" s="23">
        <v>1</v>
      </c>
      <c r="B6" s="19"/>
      <c r="C6" s="3"/>
      <c r="D6" s="3"/>
      <c r="E6" s="3"/>
      <c r="F6" s="3"/>
      <c r="G6" s="3"/>
      <c r="H6" s="3"/>
      <c r="I6" s="3"/>
      <c r="J6" s="3"/>
      <c r="K6" s="5"/>
      <c r="L6" s="3"/>
      <c r="M6" s="3"/>
      <c r="N6" s="3"/>
      <c r="O6" s="88">
        <f t="shared" si="0"/>
        <v>0</v>
      </c>
      <c r="P6" s="88">
        <f t="shared" si="1"/>
        <v>0</v>
      </c>
      <c r="Q6" s="88">
        <f t="shared" si="2"/>
        <v>0</v>
      </c>
      <c r="R6" s="88">
        <f t="shared" si="3"/>
        <v>0</v>
      </c>
      <c r="S6" s="88">
        <f t="shared" si="4"/>
        <v>0</v>
      </c>
      <c r="T6" s="3"/>
      <c r="U6" s="3">
        <f t="shared" si="5"/>
        <v>0</v>
      </c>
      <c r="W6" s="49" t="s">
        <v>52</v>
      </c>
      <c r="X6" s="51">
        <f>SUM(K4:K33)</f>
        <v>0</v>
      </c>
      <c r="Y6" s="52"/>
      <c r="AA6" s="95" t="s">
        <v>86</v>
      </c>
      <c r="AB6" s="94" t="str">
        <f>IFERROR(ABS(SUM(X14:X19)) / ((X3 - ABS(SUM(X5:X12))) / X3), "")</f>
        <v/>
      </c>
    </row>
    <row r="7" spans="1:28" x14ac:dyDescent="0.25">
      <c r="A7" s="23">
        <v>2</v>
      </c>
      <c r="B7" s="3"/>
      <c r="C7" s="3"/>
      <c r="D7" s="3"/>
      <c r="E7" s="3"/>
      <c r="F7" s="3"/>
      <c r="G7" s="3"/>
      <c r="H7" s="3"/>
      <c r="I7" s="3"/>
      <c r="J7" s="3"/>
      <c r="K7" s="5"/>
      <c r="L7" s="3"/>
      <c r="M7" s="3"/>
      <c r="N7" s="3"/>
      <c r="O7" s="88">
        <f t="shared" si="0"/>
        <v>0</v>
      </c>
      <c r="P7" s="88">
        <f t="shared" si="1"/>
        <v>0</v>
      </c>
      <c r="Q7" s="88">
        <f t="shared" si="2"/>
        <v>0</v>
      </c>
      <c r="R7" s="88">
        <f t="shared" si="3"/>
        <v>0</v>
      </c>
      <c r="S7" s="88">
        <f t="shared" si="4"/>
        <v>0</v>
      </c>
      <c r="T7" s="3"/>
      <c r="U7" s="3">
        <f t="shared" si="5"/>
        <v>0</v>
      </c>
      <c r="W7" s="49" t="s">
        <v>53</v>
      </c>
      <c r="X7" s="55"/>
      <c r="Y7" s="55"/>
    </row>
    <row r="8" spans="1:28" x14ac:dyDescent="0.25">
      <c r="A8" s="23">
        <v>3</v>
      </c>
      <c r="B8" s="3"/>
      <c r="C8" s="3"/>
      <c r="D8" s="3"/>
      <c r="E8" s="3"/>
      <c r="F8" s="3"/>
      <c r="G8" s="3"/>
      <c r="H8" s="3"/>
      <c r="I8" s="3"/>
      <c r="J8" s="3"/>
      <c r="K8" s="5"/>
      <c r="L8" s="3"/>
      <c r="M8" s="3"/>
      <c r="N8" s="3"/>
      <c r="O8" s="88">
        <f t="shared" si="0"/>
        <v>0</v>
      </c>
      <c r="P8" s="88">
        <f t="shared" si="1"/>
        <v>0</v>
      </c>
      <c r="Q8" s="88">
        <f t="shared" si="2"/>
        <v>0</v>
      </c>
      <c r="R8" s="88">
        <f t="shared" si="3"/>
        <v>0</v>
      </c>
      <c r="S8" s="88">
        <f t="shared" si="4"/>
        <v>0</v>
      </c>
      <c r="T8" s="3"/>
      <c r="U8" s="3">
        <f t="shared" si="5"/>
        <v>0</v>
      </c>
      <c r="W8" s="49" t="s">
        <v>41</v>
      </c>
      <c r="X8" s="51">
        <f>(SUM(J4:J33))/31</f>
        <v>0</v>
      </c>
      <c r="Y8" s="51"/>
    </row>
    <row r="9" spans="1:28" x14ac:dyDescent="0.25">
      <c r="A9" s="23">
        <v>4</v>
      </c>
      <c r="B9" s="3"/>
      <c r="C9" s="3"/>
      <c r="D9" s="3"/>
      <c r="E9" s="3"/>
      <c r="F9" s="3"/>
      <c r="G9" s="3"/>
      <c r="H9" s="3"/>
      <c r="I9" s="3"/>
      <c r="J9" s="3"/>
      <c r="K9" s="5"/>
      <c r="L9" s="3"/>
      <c r="M9" s="3"/>
      <c r="N9" s="3"/>
      <c r="O9" s="88">
        <f t="shared" si="0"/>
        <v>0</v>
      </c>
      <c r="P9" s="88">
        <f t="shared" si="1"/>
        <v>0</v>
      </c>
      <c r="Q9" s="88">
        <f t="shared" si="2"/>
        <v>0</v>
      </c>
      <c r="R9" s="88">
        <f t="shared" si="3"/>
        <v>0</v>
      </c>
      <c r="S9" s="88">
        <f t="shared" si="4"/>
        <v>0</v>
      </c>
      <c r="T9" s="3"/>
      <c r="U9" s="3">
        <f t="shared" si="5"/>
        <v>0</v>
      </c>
      <c r="W9" s="49" t="s">
        <v>54</v>
      </c>
      <c r="X9" s="51">
        <f>SUM(L4:L33)</f>
        <v>0</v>
      </c>
      <c r="Y9" s="52"/>
    </row>
    <row r="10" spans="1:28" x14ac:dyDescent="0.25">
      <c r="A10" s="23">
        <v>5</v>
      </c>
      <c r="B10" s="3"/>
      <c r="C10" s="3"/>
      <c r="D10" s="3"/>
      <c r="E10" s="3"/>
      <c r="F10" s="3"/>
      <c r="G10" s="3"/>
      <c r="H10" s="3"/>
      <c r="I10" s="3"/>
      <c r="J10" s="3"/>
      <c r="K10" s="5"/>
      <c r="L10" s="3"/>
      <c r="M10" s="3"/>
      <c r="N10" s="3"/>
      <c r="O10" s="88">
        <f t="shared" si="0"/>
        <v>0</v>
      </c>
      <c r="P10" s="88">
        <f t="shared" si="1"/>
        <v>0</v>
      </c>
      <c r="Q10" s="88">
        <f t="shared" si="2"/>
        <v>0</v>
      </c>
      <c r="R10" s="88">
        <f t="shared" si="3"/>
        <v>0</v>
      </c>
      <c r="S10" s="88">
        <f t="shared" si="4"/>
        <v>0</v>
      </c>
      <c r="T10" s="3"/>
      <c r="U10" s="3">
        <f t="shared" si="5"/>
        <v>0</v>
      </c>
      <c r="W10" s="49" t="s">
        <v>55</v>
      </c>
      <c r="X10" s="51">
        <f>SUM(M4:M33)</f>
        <v>0</v>
      </c>
      <c r="Y10" s="52"/>
    </row>
    <row r="11" spans="1:28" x14ac:dyDescent="0.25">
      <c r="A11" s="23">
        <v>6</v>
      </c>
      <c r="B11" s="19"/>
      <c r="C11" s="3"/>
      <c r="D11" s="3"/>
      <c r="E11" s="3"/>
      <c r="F11" s="3"/>
      <c r="G11" s="3"/>
      <c r="H11" s="3"/>
      <c r="I11" s="3"/>
      <c r="J11" s="3"/>
      <c r="K11" s="5"/>
      <c r="L11" s="3"/>
      <c r="M11" s="3"/>
      <c r="N11" s="3"/>
      <c r="O11" s="88">
        <f t="shared" si="0"/>
        <v>0</v>
      </c>
      <c r="P11" s="88">
        <f t="shared" si="1"/>
        <v>0</v>
      </c>
      <c r="Q11" s="88">
        <f t="shared" si="2"/>
        <v>0</v>
      </c>
      <c r="R11" s="88">
        <f t="shared" si="3"/>
        <v>0</v>
      </c>
      <c r="S11" s="88">
        <f t="shared" si="4"/>
        <v>0</v>
      </c>
      <c r="T11" s="3"/>
      <c r="U11" s="3">
        <f t="shared" si="5"/>
        <v>0</v>
      </c>
      <c r="W11" s="49" t="s">
        <v>94</v>
      </c>
      <c r="X11" s="51">
        <f>SUM(N4:N34)</f>
        <v>0</v>
      </c>
      <c r="Y11" s="52"/>
    </row>
    <row r="12" spans="1:28" x14ac:dyDescent="0.25">
      <c r="A12" s="23">
        <v>7</v>
      </c>
      <c r="B12" s="3"/>
      <c r="C12" s="3"/>
      <c r="D12" s="3"/>
      <c r="E12" s="3"/>
      <c r="F12" s="3"/>
      <c r="G12" s="3"/>
      <c r="H12" s="3"/>
      <c r="I12" s="3"/>
      <c r="J12" s="3"/>
      <c r="K12" s="5"/>
      <c r="L12" s="3"/>
      <c r="M12" s="3"/>
      <c r="N12" s="3"/>
      <c r="O12" s="88">
        <f t="shared" si="0"/>
        <v>0</v>
      </c>
      <c r="P12" s="88">
        <f t="shared" si="1"/>
        <v>0</v>
      </c>
      <c r="Q12" s="88">
        <f t="shared" si="2"/>
        <v>0</v>
      </c>
      <c r="R12" s="88">
        <f t="shared" si="3"/>
        <v>0</v>
      </c>
      <c r="S12" s="88">
        <f t="shared" si="4"/>
        <v>0</v>
      </c>
      <c r="T12" s="3"/>
      <c r="U12" s="3">
        <f t="shared" si="5"/>
        <v>0</v>
      </c>
      <c r="W12" s="49" t="s">
        <v>56</v>
      </c>
      <c r="X12" s="51">
        <f>-X3*X4</f>
        <v>0</v>
      </c>
      <c r="Y12" s="52"/>
    </row>
    <row r="13" spans="1:28" x14ac:dyDescent="0.25">
      <c r="A13" s="23">
        <v>8</v>
      </c>
      <c r="B13" s="3"/>
      <c r="C13" s="3"/>
      <c r="D13" s="3"/>
      <c r="E13" s="3"/>
      <c r="F13" s="3"/>
      <c r="G13" s="3"/>
      <c r="H13" s="3"/>
      <c r="I13" s="3"/>
      <c r="J13" s="3"/>
      <c r="K13" s="5"/>
      <c r="L13" s="3"/>
      <c r="M13" s="3"/>
      <c r="N13" s="3"/>
      <c r="O13" s="88">
        <f t="shared" si="0"/>
        <v>0</v>
      </c>
      <c r="P13" s="88">
        <f t="shared" si="1"/>
        <v>0</v>
      </c>
      <c r="Q13" s="88">
        <f t="shared" si="2"/>
        <v>0</v>
      </c>
      <c r="R13" s="88">
        <f t="shared" si="3"/>
        <v>0</v>
      </c>
      <c r="S13" s="88">
        <f t="shared" si="4"/>
        <v>0</v>
      </c>
      <c r="T13" s="3"/>
      <c r="U13" s="3">
        <f t="shared" si="5"/>
        <v>0</v>
      </c>
      <c r="W13" s="49" t="s">
        <v>57</v>
      </c>
      <c r="X13" s="55"/>
      <c r="Y13" s="52"/>
    </row>
    <row r="14" spans="1:28" x14ac:dyDescent="0.25">
      <c r="A14" s="23">
        <v>9</v>
      </c>
      <c r="B14" s="3"/>
      <c r="C14" s="3"/>
      <c r="D14" s="3"/>
      <c r="E14" s="3"/>
      <c r="F14" s="3"/>
      <c r="G14" s="3"/>
      <c r="H14" s="3"/>
      <c r="I14" s="3"/>
      <c r="J14" s="3"/>
      <c r="K14" s="5"/>
      <c r="L14" s="3"/>
      <c r="M14" s="3"/>
      <c r="N14" s="3"/>
      <c r="O14" s="88">
        <f t="shared" si="0"/>
        <v>0</v>
      </c>
      <c r="P14" s="88">
        <f t="shared" si="1"/>
        <v>0</v>
      </c>
      <c r="Q14" s="88">
        <f t="shared" si="2"/>
        <v>0</v>
      </c>
      <c r="R14" s="88">
        <f t="shared" si="3"/>
        <v>0</v>
      </c>
      <c r="S14" s="88">
        <f t="shared" si="4"/>
        <v>0</v>
      </c>
      <c r="T14" s="3"/>
      <c r="U14" s="3">
        <f t="shared" si="5"/>
        <v>0</v>
      </c>
      <c r="W14" s="49" t="s">
        <v>38</v>
      </c>
      <c r="X14" s="51">
        <f>SUM(T4:T33)</f>
        <v>0</v>
      </c>
      <c r="Y14" s="52"/>
    </row>
    <row r="15" spans="1:28" x14ac:dyDescent="0.25">
      <c r="A15" s="23">
        <v>10</v>
      </c>
      <c r="B15" s="3"/>
      <c r="C15" s="3"/>
      <c r="D15" s="3"/>
      <c r="E15" s="3"/>
      <c r="F15" s="22"/>
      <c r="G15" s="3"/>
      <c r="H15" s="3"/>
      <c r="I15" s="3"/>
      <c r="J15" s="3"/>
      <c r="K15" s="5"/>
      <c r="L15" s="3"/>
      <c r="M15" s="3"/>
      <c r="N15" s="3"/>
      <c r="O15" s="88">
        <f t="shared" si="0"/>
        <v>0</v>
      </c>
      <c r="P15" s="88">
        <f t="shared" si="1"/>
        <v>0</v>
      </c>
      <c r="Q15" s="88">
        <f t="shared" si="2"/>
        <v>0</v>
      </c>
      <c r="R15" s="88">
        <f t="shared" si="3"/>
        <v>0</v>
      </c>
      <c r="S15" s="88">
        <f t="shared" si="4"/>
        <v>0</v>
      </c>
      <c r="T15" s="3"/>
      <c r="U15" s="3">
        <f t="shared" si="5"/>
        <v>0</v>
      </c>
      <c r="W15" s="49" t="s">
        <v>37</v>
      </c>
      <c r="X15" s="55"/>
      <c r="Y15" s="52"/>
    </row>
    <row r="16" spans="1:28" x14ac:dyDescent="0.25">
      <c r="A16" s="23">
        <v>11</v>
      </c>
      <c r="B16" s="3"/>
      <c r="C16" s="3"/>
      <c r="D16" s="3"/>
      <c r="E16" s="3"/>
      <c r="F16" s="3"/>
      <c r="G16" s="3"/>
      <c r="H16" s="3"/>
      <c r="I16" s="3"/>
      <c r="J16" s="3"/>
      <c r="K16" s="5"/>
      <c r="L16" s="3"/>
      <c r="M16" s="3"/>
      <c r="N16" s="3"/>
      <c r="O16" s="88">
        <f t="shared" si="0"/>
        <v>0</v>
      </c>
      <c r="P16" s="88">
        <f t="shared" si="1"/>
        <v>0</v>
      </c>
      <c r="Q16" s="88">
        <f t="shared" si="2"/>
        <v>0</v>
      </c>
      <c r="R16" s="88">
        <f t="shared" si="3"/>
        <v>0</v>
      </c>
      <c r="S16" s="88">
        <f t="shared" si="4"/>
        <v>0</v>
      </c>
      <c r="T16" s="3"/>
      <c r="U16" s="3">
        <f t="shared" si="5"/>
        <v>0</v>
      </c>
      <c r="W16" s="49" t="s">
        <v>35</v>
      </c>
      <c r="X16" s="55"/>
      <c r="Y16" s="52"/>
    </row>
    <row r="17" spans="1:27" x14ac:dyDescent="0.25">
      <c r="A17" s="23">
        <v>12</v>
      </c>
      <c r="B17" s="3"/>
      <c r="C17" s="3"/>
      <c r="D17" s="3"/>
      <c r="E17" s="3"/>
      <c r="F17" s="3"/>
      <c r="G17" s="3"/>
      <c r="H17" s="3"/>
      <c r="I17" s="3"/>
      <c r="J17" s="3"/>
      <c r="K17" s="5"/>
      <c r="L17" s="3"/>
      <c r="M17" s="3"/>
      <c r="N17" s="3"/>
      <c r="O17" s="88">
        <f t="shared" si="0"/>
        <v>0</v>
      </c>
      <c r="P17" s="88">
        <f t="shared" si="1"/>
        <v>0</v>
      </c>
      <c r="Q17" s="88">
        <f t="shared" si="2"/>
        <v>0</v>
      </c>
      <c r="R17" s="88">
        <f t="shared" si="3"/>
        <v>0</v>
      </c>
      <c r="S17" s="88">
        <f t="shared" si="4"/>
        <v>0</v>
      </c>
      <c r="T17" s="3"/>
      <c r="U17" s="3">
        <f t="shared" si="5"/>
        <v>0</v>
      </c>
      <c r="W17" s="49" t="s">
        <v>58</v>
      </c>
      <c r="X17" s="55">
        <v>0</v>
      </c>
      <c r="Y17" s="52"/>
    </row>
    <row r="18" spans="1:27" x14ac:dyDescent="0.25">
      <c r="A18" s="23">
        <v>13</v>
      </c>
      <c r="B18" s="3"/>
      <c r="C18" s="3"/>
      <c r="D18" s="3"/>
      <c r="E18" s="3"/>
      <c r="F18" s="3"/>
      <c r="G18" s="3"/>
      <c r="H18" s="3"/>
      <c r="I18" s="3"/>
      <c r="J18" s="3"/>
      <c r="K18" s="5"/>
      <c r="L18" s="3"/>
      <c r="M18" s="3"/>
      <c r="N18" s="3"/>
      <c r="O18" s="88">
        <f t="shared" si="0"/>
        <v>0</v>
      </c>
      <c r="P18" s="88">
        <f t="shared" si="1"/>
        <v>0</v>
      </c>
      <c r="Q18" s="88">
        <f t="shared" si="2"/>
        <v>0</v>
      </c>
      <c r="R18" s="88">
        <f t="shared" si="3"/>
        <v>0</v>
      </c>
      <c r="S18" s="88">
        <f t="shared" si="4"/>
        <v>0</v>
      </c>
      <c r="T18" s="3"/>
      <c r="U18" s="3">
        <f t="shared" si="5"/>
        <v>0</v>
      </c>
      <c r="W18" s="49" t="s">
        <v>90</v>
      </c>
      <c r="X18" s="55"/>
      <c r="Y18" s="52"/>
    </row>
    <row r="19" spans="1:27" x14ac:dyDescent="0.25">
      <c r="A19" s="23">
        <v>14</v>
      </c>
      <c r="B19" s="3"/>
      <c r="C19" s="3"/>
      <c r="D19" s="3"/>
      <c r="E19" s="3"/>
      <c r="F19" s="3"/>
      <c r="G19" s="3"/>
      <c r="H19" s="3"/>
      <c r="I19" s="3"/>
      <c r="J19" s="3"/>
      <c r="K19" s="5"/>
      <c r="L19" s="3"/>
      <c r="M19" s="3"/>
      <c r="N19" s="3"/>
      <c r="O19" s="88">
        <f t="shared" si="0"/>
        <v>0</v>
      </c>
      <c r="P19" s="88">
        <f t="shared" si="1"/>
        <v>0</v>
      </c>
      <c r="Q19" s="88">
        <f t="shared" si="2"/>
        <v>0</v>
      </c>
      <c r="R19" s="88">
        <f t="shared" si="3"/>
        <v>0</v>
      </c>
      <c r="S19" s="88">
        <f t="shared" si="4"/>
        <v>0</v>
      </c>
      <c r="T19" s="3"/>
      <c r="U19" s="3">
        <f t="shared" si="5"/>
        <v>0</v>
      </c>
      <c r="W19" s="49" t="s">
        <v>91</v>
      </c>
      <c r="X19" s="51">
        <f>(X18*20%)+(-X21*11%)</f>
        <v>0</v>
      </c>
      <c r="Y19" s="52"/>
    </row>
    <row r="20" spans="1:27" x14ac:dyDescent="0.25">
      <c r="A20" s="23">
        <v>15</v>
      </c>
      <c r="B20" s="3"/>
      <c r="C20" s="3"/>
      <c r="D20" s="3"/>
      <c r="E20" s="3"/>
      <c r="F20" s="3"/>
      <c r="G20" s="3"/>
      <c r="H20" s="3"/>
      <c r="I20" s="3"/>
      <c r="J20" s="3"/>
      <c r="K20" s="5"/>
      <c r="L20" s="3"/>
      <c r="M20" s="3"/>
      <c r="N20" s="3"/>
      <c r="O20" s="88">
        <f t="shared" si="0"/>
        <v>0</v>
      </c>
      <c r="P20" s="88">
        <f t="shared" si="1"/>
        <v>0</v>
      </c>
      <c r="Q20" s="88">
        <f t="shared" si="2"/>
        <v>0</v>
      </c>
      <c r="R20" s="88">
        <f t="shared" si="3"/>
        <v>0</v>
      </c>
      <c r="S20" s="88">
        <f t="shared" si="4"/>
        <v>0</v>
      </c>
      <c r="T20" s="3"/>
      <c r="U20" s="3">
        <f t="shared" si="5"/>
        <v>0</v>
      </c>
      <c r="W20" s="49" t="s">
        <v>42</v>
      </c>
      <c r="X20" s="55"/>
      <c r="Y20" s="52"/>
    </row>
    <row r="21" spans="1:27" ht="15.75" thickBot="1" x14ac:dyDescent="0.3">
      <c r="A21" s="23">
        <v>16</v>
      </c>
      <c r="B21" s="3"/>
      <c r="C21" s="3"/>
      <c r="D21" s="3"/>
      <c r="E21" s="3"/>
      <c r="F21" s="3"/>
      <c r="G21" s="3"/>
      <c r="H21" s="3"/>
      <c r="I21" s="3"/>
      <c r="J21" s="3"/>
      <c r="K21" s="5"/>
      <c r="L21" s="3"/>
      <c r="M21" s="3"/>
      <c r="N21" s="3"/>
      <c r="O21" s="88">
        <f t="shared" si="0"/>
        <v>0</v>
      </c>
      <c r="P21" s="88">
        <f t="shared" si="1"/>
        <v>0</v>
      </c>
      <c r="Q21" s="88">
        <f t="shared" si="2"/>
        <v>0</v>
      </c>
      <c r="R21" s="88">
        <f t="shared" si="3"/>
        <v>0</v>
      </c>
      <c r="S21" s="88">
        <f t="shared" si="4"/>
        <v>0</v>
      </c>
      <c r="T21" s="3"/>
      <c r="U21" s="3">
        <f t="shared" si="5"/>
        <v>0</v>
      </c>
      <c r="W21" s="50" t="s">
        <v>43</v>
      </c>
      <c r="X21" s="56">
        <f>X3+X5+X6+X9+X10+X12+X13+X15+X16+X17+X18+X20+X7</f>
        <v>0</v>
      </c>
      <c r="Y21" s="35">
        <f>Y3+Y5+Y6+Y7+Y9+Y10+Y12+Y13+Y15+Y16+Y17+Y18+Y20</f>
        <v>0</v>
      </c>
      <c r="Z21" s="1"/>
      <c r="AA21" s="1"/>
    </row>
    <row r="22" spans="1:27" ht="15.75" thickBot="1" x14ac:dyDescent="0.3">
      <c r="A22" s="23">
        <v>17</v>
      </c>
      <c r="B22" s="3"/>
      <c r="C22" s="3"/>
      <c r="D22" s="3"/>
      <c r="E22" s="3"/>
      <c r="F22" s="3"/>
      <c r="G22" s="3"/>
      <c r="H22" s="3"/>
      <c r="I22" s="3"/>
      <c r="J22" s="3"/>
      <c r="K22" s="5"/>
      <c r="L22" s="3"/>
      <c r="M22" s="3"/>
      <c r="N22" s="3"/>
      <c r="O22" s="88">
        <f t="shared" si="0"/>
        <v>0</v>
      </c>
      <c r="P22" s="88">
        <f t="shared" si="1"/>
        <v>0</v>
      </c>
      <c r="Q22" s="88">
        <f t="shared" si="2"/>
        <v>0</v>
      </c>
      <c r="R22" s="88">
        <f t="shared" si="3"/>
        <v>0</v>
      </c>
      <c r="S22" s="88">
        <f t="shared" si="4"/>
        <v>0</v>
      </c>
      <c r="T22" s="3"/>
      <c r="U22" s="3">
        <f t="shared" si="5"/>
        <v>0</v>
      </c>
      <c r="W22" s="50" t="s">
        <v>92</v>
      </c>
      <c r="X22" s="56">
        <f>X3+X5+X6+X7+X9+X10+X12+X13+X14+X15+X16+X17+X18+X19+X20</f>
        <v>0</v>
      </c>
      <c r="Y22" s="35">
        <f>Y3+Y5+Y6+Y7+Y9+Y10+Y12+Y13+Y15+Y16+Y17+Y18+Y19+Y20</f>
        <v>0</v>
      </c>
    </row>
    <row r="23" spans="1:27" x14ac:dyDescent="0.25">
      <c r="A23" s="23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88">
        <f t="shared" si="0"/>
        <v>0</v>
      </c>
      <c r="P23" s="88">
        <f t="shared" si="1"/>
        <v>0</v>
      </c>
      <c r="Q23" s="88">
        <f t="shared" si="2"/>
        <v>0</v>
      </c>
      <c r="R23" s="88">
        <f t="shared" si="3"/>
        <v>0</v>
      </c>
      <c r="S23" s="88">
        <f t="shared" si="4"/>
        <v>0</v>
      </c>
      <c r="T23" s="3"/>
      <c r="U23" s="3">
        <f t="shared" si="5"/>
        <v>0</v>
      </c>
    </row>
    <row r="24" spans="1:27" x14ac:dyDescent="0.25">
      <c r="A24" s="23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88">
        <f t="shared" si="0"/>
        <v>0</v>
      </c>
      <c r="P24" s="88">
        <f t="shared" si="1"/>
        <v>0</v>
      </c>
      <c r="Q24" s="88">
        <f t="shared" si="2"/>
        <v>0</v>
      </c>
      <c r="R24" s="88">
        <f t="shared" si="3"/>
        <v>0</v>
      </c>
      <c r="S24" s="88">
        <f t="shared" si="4"/>
        <v>0</v>
      </c>
      <c r="T24" s="3"/>
      <c r="U24" s="3">
        <f t="shared" si="5"/>
        <v>0</v>
      </c>
      <c r="W24" s="13" t="s">
        <v>44</v>
      </c>
      <c r="X24" s="36">
        <f>X6+X5+X14+X13</f>
        <v>0</v>
      </c>
      <c r="Y24" s="14"/>
    </row>
    <row r="25" spans="1:27" x14ac:dyDescent="0.25">
      <c r="A25" s="23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88">
        <f t="shared" si="0"/>
        <v>0</v>
      </c>
      <c r="P25" s="88">
        <f t="shared" si="1"/>
        <v>0</v>
      </c>
      <c r="Q25" s="88">
        <f t="shared" si="2"/>
        <v>0</v>
      </c>
      <c r="R25" s="88">
        <f t="shared" si="3"/>
        <v>0</v>
      </c>
      <c r="S25" s="88">
        <f t="shared" si="4"/>
        <v>0</v>
      </c>
      <c r="T25" s="3"/>
      <c r="U25" s="3">
        <f t="shared" si="5"/>
        <v>0</v>
      </c>
    </row>
    <row r="26" spans="1:27" x14ac:dyDescent="0.25">
      <c r="A26" s="23">
        <v>21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88">
        <f t="shared" si="0"/>
        <v>0</v>
      </c>
      <c r="P26" s="88">
        <f t="shared" si="1"/>
        <v>0</v>
      </c>
      <c r="Q26" s="88">
        <f t="shared" si="2"/>
        <v>0</v>
      </c>
      <c r="R26" s="88">
        <f t="shared" si="3"/>
        <v>0</v>
      </c>
      <c r="S26" s="88">
        <f t="shared" si="4"/>
        <v>0</v>
      </c>
      <c r="T26" s="3"/>
      <c r="U26" s="3">
        <f t="shared" si="5"/>
        <v>0</v>
      </c>
      <c r="W26" s="1"/>
    </row>
    <row r="27" spans="1:27" x14ac:dyDescent="0.25">
      <c r="A27" s="23">
        <v>22</v>
      </c>
      <c r="B27" s="3"/>
      <c r="C27" s="3"/>
      <c r="D27" s="3"/>
      <c r="E27" s="3"/>
      <c r="F27" s="22"/>
      <c r="G27" s="3"/>
      <c r="H27" s="3"/>
      <c r="I27" s="3"/>
      <c r="J27" s="3"/>
      <c r="K27" s="5"/>
      <c r="L27" s="3"/>
      <c r="M27" s="3"/>
      <c r="N27" s="3"/>
      <c r="O27" s="88">
        <f t="shared" si="0"/>
        <v>0</v>
      </c>
      <c r="P27" s="88">
        <f t="shared" si="1"/>
        <v>0</v>
      </c>
      <c r="Q27" s="88">
        <f t="shared" si="2"/>
        <v>0</v>
      </c>
      <c r="R27" s="88">
        <f t="shared" si="3"/>
        <v>0</v>
      </c>
      <c r="S27" s="88">
        <f t="shared" si="4"/>
        <v>0</v>
      </c>
      <c r="T27" s="3"/>
      <c r="U27" s="3">
        <f t="shared" si="5"/>
        <v>0</v>
      </c>
      <c r="W27" s="11" t="s">
        <v>45</v>
      </c>
      <c r="X27" s="42">
        <f>(X22*X30)</f>
        <v>0</v>
      </c>
      <c r="Y27" s="12">
        <f>Y22*50%</f>
        <v>0</v>
      </c>
    </row>
    <row r="28" spans="1:27" x14ac:dyDescent="0.25">
      <c r="A28" s="23">
        <v>23</v>
      </c>
      <c r="B28" s="3"/>
      <c r="C28" s="3"/>
      <c r="D28" s="3"/>
      <c r="E28" s="3"/>
      <c r="F28" s="22"/>
      <c r="G28" s="3"/>
      <c r="H28" s="3"/>
      <c r="I28" s="3"/>
      <c r="J28" s="3"/>
      <c r="K28" s="5"/>
      <c r="L28" s="3"/>
      <c r="M28" s="3"/>
      <c r="N28" s="3"/>
      <c r="O28" s="88">
        <f t="shared" si="0"/>
        <v>0</v>
      </c>
      <c r="P28" s="88">
        <f t="shared" si="1"/>
        <v>0</v>
      </c>
      <c r="Q28" s="88">
        <f t="shared" si="2"/>
        <v>0</v>
      </c>
      <c r="R28" s="88">
        <f t="shared" si="3"/>
        <v>0</v>
      </c>
      <c r="S28" s="88">
        <f t="shared" si="4"/>
        <v>0</v>
      </c>
      <c r="T28" s="3"/>
      <c r="U28" s="3">
        <f t="shared" si="5"/>
        <v>0</v>
      </c>
      <c r="W28" s="11" t="s">
        <v>46</v>
      </c>
      <c r="X28" s="42">
        <f>X22*X31</f>
        <v>0</v>
      </c>
      <c r="Y28" s="12">
        <f>Y22*X31</f>
        <v>0</v>
      </c>
    </row>
    <row r="29" spans="1:27" ht="15.75" thickBot="1" x14ac:dyDescent="0.3">
      <c r="A29" s="23">
        <v>24</v>
      </c>
      <c r="B29" s="3"/>
      <c r="C29" s="3"/>
      <c r="D29" s="3"/>
      <c r="E29" s="3"/>
      <c r="F29" s="22"/>
      <c r="G29" s="3"/>
      <c r="H29" s="3"/>
      <c r="I29" s="3"/>
      <c r="J29" s="3"/>
      <c r="K29" s="5"/>
      <c r="L29" s="3"/>
      <c r="M29" s="3"/>
      <c r="N29" s="3"/>
      <c r="O29" s="88">
        <f t="shared" si="0"/>
        <v>0</v>
      </c>
      <c r="P29" s="88">
        <f t="shared" si="1"/>
        <v>0</v>
      </c>
      <c r="Q29" s="88">
        <f t="shared" si="2"/>
        <v>0</v>
      </c>
      <c r="R29" s="88">
        <f t="shared" si="3"/>
        <v>0</v>
      </c>
      <c r="S29" s="88">
        <f t="shared" si="4"/>
        <v>0</v>
      </c>
      <c r="T29" s="3"/>
      <c r="U29" s="3">
        <f t="shared" si="5"/>
        <v>0</v>
      </c>
      <c r="Y29" s="1"/>
    </row>
    <row r="30" spans="1:27" ht="15.75" thickBot="1" x14ac:dyDescent="0.3">
      <c r="A30" s="23">
        <v>25</v>
      </c>
      <c r="B30" s="3"/>
      <c r="C30" s="3"/>
      <c r="D30" s="3"/>
      <c r="E30" s="3"/>
      <c r="F30" s="22"/>
      <c r="G30" s="3"/>
      <c r="H30" s="3"/>
      <c r="I30" s="3"/>
      <c r="J30" s="3"/>
      <c r="K30" s="5"/>
      <c r="L30" s="5"/>
      <c r="M30" s="3"/>
      <c r="N30" s="3"/>
      <c r="O30" s="88">
        <f t="shared" si="0"/>
        <v>0</v>
      </c>
      <c r="P30" s="88">
        <f t="shared" si="1"/>
        <v>0</v>
      </c>
      <c r="Q30" s="88">
        <f t="shared" si="2"/>
        <v>0</v>
      </c>
      <c r="R30" s="88">
        <f t="shared" si="3"/>
        <v>0</v>
      </c>
      <c r="S30" s="88">
        <f t="shared" si="4"/>
        <v>0</v>
      </c>
      <c r="T30" s="3"/>
      <c r="U30" s="3">
        <f t="shared" si="5"/>
        <v>0</v>
      </c>
      <c r="W30" s="46" t="s">
        <v>73</v>
      </c>
      <c r="X30" s="47">
        <v>0.5</v>
      </c>
    </row>
    <row r="31" spans="1:27" ht="15.75" thickBot="1" x14ac:dyDescent="0.3">
      <c r="A31" s="23">
        <v>26</v>
      </c>
      <c r="B31" s="3"/>
      <c r="C31" s="3"/>
      <c r="D31" s="3"/>
      <c r="E31" s="3"/>
      <c r="F31" s="22"/>
      <c r="G31" s="3"/>
      <c r="H31" s="3"/>
      <c r="I31" s="3"/>
      <c r="J31" s="3"/>
      <c r="K31" s="5"/>
      <c r="L31" s="3"/>
      <c r="M31" s="3"/>
      <c r="N31" s="3"/>
      <c r="O31" s="88">
        <f t="shared" si="0"/>
        <v>0</v>
      </c>
      <c r="P31" s="88">
        <f t="shared" si="1"/>
        <v>0</v>
      </c>
      <c r="Q31" s="88">
        <f t="shared" si="2"/>
        <v>0</v>
      </c>
      <c r="R31" s="88">
        <f t="shared" si="3"/>
        <v>0</v>
      </c>
      <c r="S31" s="88">
        <f t="shared" si="4"/>
        <v>0</v>
      </c>
      <c r="T31" s="3"/>
      <c r="U31" s="3">
        <f t="shared" si="5"/>
        <v>0</v>
      </c>
      <c r="W31" s="46" t="s">
        <v>46</v>
      </c>
      <c r="X31" s="48">
        <v>0.5</v>
      </c>
      <c r="Z31" s="118"/>
      <c r="AA31" s="119"/>
    </row>
    <row r="32" spans="1:27" ht="15.75" thickBot="1" x14ac:dyDescent="0.3">
      <c r="A32" s="23">
        <v>27</v>
      </c>
      <c r="B32" s="3"/>
      <c r="C32" s="3"/>
      <c r="D32" s="3"/>
      <c r="E32" s="3"/>
      <c r="F32" s="22"/>
      <c r="G32" s="3"/>
      <c r="H32" s="3"/>
      <c r="I32" s="3"/>
      <c r="J32" s="3"/>
      <c r="K32" s="5"/>
      <c r="L32" s="3"/>
      <c r="M32" s="3"/>
      <c r="N32" s="3"/>
      <c r="O32" s="88">
        <f t="shared" si="0"/>
        <v>0</v>
      </c>
      <c r="P32" s="88">
        <f t="shared" si="1"/>
        <v>0</v>
      </c>
      <c r="Q32" s="88">
        <f t="shared" si="2"/>
        <v>0</v>
      </c>
      <c r="R32" s="88">
        <f t="shared" si="3"/>
        <v>0</v>
      </c>
      <c r="S32" s="88">
        <f t="shared" si="4"/>
        <v>0</v>
      </c>
      <c r="T32" s="3"/>
      <c r="U32" s="3">
        <f t="shared" si="5"/>
        <v>0</v>
      </c>
      <c r="W32" s="1"/>
      <c r="X32" s="40"/>
      <c r="Y32" s="117" t="s">
        <v>71</v>
      </c>
      <c r="Z32" s="44"/>
      <c r="AA32" s="45"/>
    </row>
    <row r="33" spans="1:28" s="1" customFormat="1" ht="15.75" thickBot="1" x14ac:dyDescent="0.3">
      <c r="A33" s="23">
        <v>28</v>
      </c>
      <c r="B33" s="3"/>
      <c r="C33" s="3"/>
      <c r="D33" s="3"/>
      <c r="E33" s="3"/>
      <c r="F33" s="22"/>
      <c r="G33" s="3"/>
      <c r="H33" s="3"/>
      <c r="I33" s="3"/>
      <c r="J33" s="3"/>
      <c r="K33" s="5"/>
      <c r="L33" s="3"/>
      <c r="M33" s="3"/>
      <c r="N33" s="3"/>
      <c r="O33" s="88">
        <f t="shared" si="0"/>
        <v>0</v>
      </c>
      <c r="P33" s="88">
        <f t="shared" si="1"/>
        <v>0</v>
      </c>
      <c r="Q33" s="88">
        <f t="shared" si="2"/>
        <v>0</v>
      </c>
      <c r="R33" s="88">
        <f t="shared" si="3"/>
        <v>0</v>
      </c>
      <c r="S33" s="88">
        <f t="shared" si="4"/>
        <v>0</v>
      </c>
      <c r="T33" s="3"/>
      <c r="U33" s="3">
        <f t="shared" si="5"/>
        <v>0</v>
      </c>
      <c r="V33" s="6"/>
      <c r="X33" s="41"/>
      <c r="Y33" s="43" t="s">
        <v>72</v>
      </c>
      <c r="Z33" s="6"/>
      <c r="AA33" s="6"/>
      <c r="AB33" s="6"/>
    </row>
    <row r="34" spans="1:28" s="1" customFormat="1" x14ac:dyDescent="0.25">
      <c r="A34" s="23">
        <v>29</v>
      </c>
      <c r="B34" s="3"/>
      <c r="C34" s="3"/>
      <c r="D34" s="3"/>
      <c r="E34" s="3"/>
      <c r="F34" s="22"/>
      <c r="G34" s="3"/>
      <c r="H34" s="3"/>
      <c r="I34" s="3"/>
      <c r="J34" s="3"/>
      <c r="K34" s="5"/>
      <c r="L34" s="3"/>
      <c r="M34" s="3"/>
      <c r="N34" s="3"/>
      <c r="O34" s="88">
        <f t="shared" si="0"/>
        <v>0</v>
      </c>
      <c r="P34" s="88">
        <f t="shared" si="1"/>
        <v>0</v>
      </c>
      <c r="Q34" s="88">
        <f t="shared" si="2"/>
        <v>0</v>
      </c>
      <c r="R34" s="88">
        <f t="shared" si="3"/>
        <v>0</v>
      </c>
      <c r="S34" s="88">
        <f t="shared" si="4"/>
        <v>0</v>
      </c>
      <c r="T34" s="3"/>
      <c r="U34" s="3">
        <f t="shared" si="5"/>
        <v>0</v>
      </c>
      <c r="V34" s="6"/>
      <c r="W34" s="6"/>
      <c r="Y34" s="6"/>
      <c r="Z34" s="6"/>
      <c r="AA34" s="6"/>
      <c r="AB34" s="6"/>
    </row>
    <row r="35" spans="1:28" s="1" customFormat="1" x14ac:dyDescent="0.25">
      <c r="A35" s="20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Y35" s="6"/>
      <c r="Z35" s="6"/>
      <c r="AA35" s="6"/>
      <c r="AB35" s="6"/>
    </row>
    <row r="36" spans="1:28" s="1" customFormat="1" x14ac:dyDescent="0.25">
      <c r="A36" s="139" t="s">
        <v>47</v>
      </c>
      <c r="B36" s="139"/>
      <c r="C36" s="21">
        <f>SUM(C4:C34)</f>
        <v>0</v>
      </c>
      <c r="D36" s="21">
        <f t="shared" ref="D36:I36" si="6">SUM(D4:D34)</f>
        <v>0</v>
      </c>
      <c r="E36" s="21">
        <f t="shared" si="6"/>
        <v>0</v>
      </c>
      <c r="F36" s="21">
        <f t="shared" si="6"/>
        <v>0</v>
      </c>
      <c r="G36" s="21">
        <f t="shared" si="6"/>
        <v>0</v>
      </c>
      <c r="H36" s="21">
        <f t="shared" si="6"/>
        <v>0</v>
      </c>
      <c r="I36" s="21">
        <f t="shared" si="6"/>
        <v>0</v>
      </c>
      <c r="J36" s="18"/>
      <c r="K36" s="1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Y36" s="6"/>
      <c r="Z36" s="6"/>
      <c r="AA36" s="6"/>
      <c r="AB36" s="6"/>
    </row>
    <row r="37" spans="1:28" s="1" customFormat="1" x14ac:dyDescent="0.25">
      <c r="A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Y37" s="6"/>
      <c r="Z37" s="6"/>
      <c r="AA37" s="6"/>
      <c r="AB37" s="6"/>
    </row>
    <row r="38" spans="1:28" s="1" customFormat="1" x14ac:dyDescent="0.25">
      <c r="A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Y38" s="6"/>
      <c r="Z38" s="6"/>
      <c r="AA38" s="6"/>
      <c r="AB38" s="6"/>
    </row>
    <row r="39" spans="1:28" s="1" customFormat="1" x14ac:dyDescent="0.25">
      <c r="A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Y39" s="6"/>
      <c r="Z39" s="6"/>
      <c r="AA39" s="6"/>
      <c r="AB39" s="6"/>
    </row>
    <row r="464" spans="25:25" x14ac:dyDescent="0.25">
      <c r="Y464" s="1"/>
    </row>
  </sheetData>
  <mergeCells count="2">
    <mergeCell ref="A1:U2"/>
    <mergeCell ref="A36:B36"/>
  </mergeCells>
  <pageMargins left="0.7" right="0.7" top="0.75" bottom="0.75" header="0.3" footer="0.3"/>
  <pageSetup paperSize="25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8055-288D-46AA-8729-62347E988AEB}">
  <dimension ref="A1:AB464"/>
  <sheetViews>
    <sheetView topLeftCell="K1" workbookViewId="0">
      <selection activeCell="X5" sqref="X5"/>
    </sheetView>
  </sheetViews>
  <sheetFormatPr defaultRowHeight="15" x14ac:dyDescent="0.25"/>
  <cols>
    <col min="1" max="1" width="4.28515625" style="6" bestFit="1" customWidth="1"/>
    <col min="2" max="2" width="15.28515625" style="1" bestFit="1" customWidth="1"/>
    <col min="3" max="3" width="15.85546875" style="6" bestFit="1" customWidth="1"/>
    <col min="4" max="4" width="16.85546875" style="6" bestFit="1" customWidth="1"/>
    <col min="5" max="9" width="16.85546875" style="6" customWidth="1"/>
    <col min="10" max="10" width="14.28515625" style="6" bestFit="1" customWidth="1"/>
    <col min="11" max="12" width="10.7109375" style="6" bestFit="1" customWidth="1"/>
    <col min="13" max="13" width="12.5703125" style="6" bestFit="1" customWidth="1"/>
    <col min="14" max="14" width="12.5703125" style="6" customWidth="1"/>
    <col min="15" max="15" width="9.42578125" style="6" bestFit="1" customWidth="1"/>
    <col min="16" max="16" width="11.28515625" style="6" bestFit="1" customWidth="1"/>
    <col min="17" max="17" width="15.140625" style="6" bestFit="1" customWidth="1"/>
    <col min="18" max="19" width="8.28515625" style="6" bestFit="1" customWidth="1"/>
    <col min="20" max="20" width="14.5703125" style="6" bestFit="1" customWidth="1"/>
    <col min="21" max="21" width="19" style="6" bestFit="1" customWidth="1"/>
    <col min="22" max="22" width="15.85546875" style="6" customWidth="1"/>
    <col min="23" max="23" width="28.85546875" style="6" bestFit="1" customWidth="1"/>
    <col min="24" max="24" width="11.7109375" style="1" bestFit="1" customWidth="1"/>
    <col min="25" max="25" width="10.7109375" style="6" bestFit="1" customWidth="1"/>
    <col min="26" max="26" width="15.28515625" style="6" bestFit="1" customWidth="1"/>
    <col min="27" max="27" width="21.7109375" style="6" bestFit="1" customWidth="1"/>
    <col min="28" max="28" width="15.85546875" style="6" customWidth="1"/>
    <col min="29" max="16384" width="9.140625" style="6"/>
  </cols>
  <sheetData>
    <row r="1" spans="1:28" ht="15.75" thickBot="1" x14ac:dyDescent="0.3">
      <c r="A1" s="138" t="s">
        <v>68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</row>
    <row r="2" spans="1:28" x14ac:dyDescent="0.25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W2" s="62"/>
      <c r="X2" s="63" t="s">
        <v>49</v>
      </c>
      <c r="Y2" s="64" t="s">
        <v>50</v>
      </c>
    </row>
    <row r="3" spans="1:28" x14ac:dyDescent="0.25">
      <c r="A3" s="9" t="s">
        <v>21</v>
      </c>
      <c r="B3" s="7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9" t="s">
        <v>31</v>
      </c>
      <c r="L3" s="8" t="s">
        <v>32</v>
      </c>
      <c r="M3" s="8" t="s">
        <v>33</v>
      </c>
      <c r="N3" s="8" t="s">
        <v>94</v>
      </c>
      <c r="O3" s="8" t="s">
        <v>34</v>
      </c>
      <c r="P3" s="8" t="s">
        <v>58</v>
      </c>
      <c r="Q3" s="8" t="s">
        <v>35</v>
      </c>
      <c r="R3" s="8" t="s">
        <v>36</v>
      </c>
      <c r="S3" s="8" t="s">
        <v>37</v>
      </c>
      <c r="T3" s="8" t="s">
        <v>38</v>
      </c>
      <c r="U3" s="9" t="s">
        <v>39</v>
      </c>
      <c r="W3" s="49" t="s">
        <v>17</v>
      </c>
      <c r="X3" s="51">
        <f>SUM(C35:I35)</f>
        <v>0</v>
      </c>
      <c r="Y3" s="51"/>
      <c r="AA3" s="60" t="s">
        <v>75</v>
      </c>
      <c r="AB3" s="60" t="s">
        <v>74</v>
      </c>
    </row>
    <row r="4" spans="1:28" x14ac:dyDescent="0.25">
      <c r="A4" s="23">
        <v>30</v>
      </c>
      <c r="B4" s="19"/>
      <c r="C4" s="4"/>
      <c r="D4" s="4"/>
      <c r="E4" s="4"/>
      <c r="F4" s="4"/>
      <c r="G4" s="4"/>
      <c r="H4" s="4"/>
      <c r="I4" s="4"/>
      <c r="J4" s="4"/>
      <c r="K4" s="10"/>
      <c r="L4" s="3"/>
      <c r="M4" s="3"/>
      <c r="N4" s="3"/>
      <c r="O4" s="88">
        <f>$X$18/30</f>
        <v>0</v>
      </c>
      <c r="P4" s="88">
        <f>$X$17/30</f>
        <v>0</v>
      </c>
      <c r="Q4" s="88">
        <f>$X$16/30</f>
        <v>0</v>
      </c>
      <c r="R4" s="88">
        <f>$X$19/30</f>
        <v>0</v>
      </c>
      <c r="S4" s="88">
        <f>$X$15/30</f>
        <v>0</v>
      </c>
      <c r="T4" s="3"/>
      <c r="U4" s="3">
        <f>C4+B4+K4+L4+M4+O4+P4+Q4+R4+S4+T4+D4+E4+F4+G4+I4+H4</f>
        <v>0</v>
      </c>
      <c r="W4" s="49" t="s">
        <v>40</v>
      </c>
      <c r="X4" s="53">
        <v>0.04</v>
      </c>
      <c r="Y4" s="53"/>
      <c r="AA4" s="58" t="str">
        <f>IFERROR(-(X3/(X6+X7)),"")</f>
        <v/>
      </c>
      <c r="AB4" s="59" t="str">
        <f>IF($AA$4 &gt; 12, "⭐ Excelente", IF($AA$4 &gt;= 6, "✅ Saudável", IF($AA$4 &lt; 5, "🛑 Perigo", "⚠️ Atenção")))</f>
        <v>⭐ Excelente</v>
      </c>
    </row>
    <row r="5" spans="1:28" x14ac:dyDescent="0.25">
      <c r="A5" s="23">
        <v>31</v>
      </c>
      <c r="B5" s="19"/>
      <c r="C5" s="3"/>
      <c r="D5" s="3"/>
      <c r="E5" s="3"/>
      <c r="F5" s="3"/>
      <c r="G5" s="3"/>
      <c r="H5" s="3"/>
      <c r="I5" s="3"/>
      <c r="J5" s="3"/>
      <c r="K5" s="5"/>
      <c r="L5" s="3"/>
      <c r="M5" s="3"/>
      <c r="N5" s="3"/>
      <c r="O5" s="88">
        <f t="shared" ref="O5:O34" si="0">$X$18/30</f>
        <v>0</v>
      </c>
      <c r="P5" s="88">
        <f t="shared" ref="P5:P34" si="1">$X$17/30</f>
        <v>0</v>
      </c>
      <c r="Q5" s="88">
        <f t="shared" ref="Q5:Q34" si="2">$X$16/30</f>
        <v>0</v>
      </c>
      <c r="R5" s="88">
        <f t="shared" ref="R5:R34" si="3">$X$19/30</f>
        <v>0</v>
      </c>
      <c r="S5" s="88">
        <f t="shared" ref="S5:S34" si="4">$X$15/30</f>
        <v>0</v>
      </c>
      <c r="T5" s="3"/>
      <c r="U5" s="3">
        <f t="shared" ref="U5:U34" si="5">C5+B5+K5+L5+M5+O5+P5+Q5+R5+S5+T5+D5+E5+F5+G5+I5+H5</f>
        <v>0</v>
      </c>
      <c r="W5" s="49" t="s">
        <v>51</v>
      </c>
      <c r="X5" s="51">
        <f>SUM(B4:B33)</f>
        <v>0</v>
      </c>
      <c r="Y5" s="52"/>
      <c r="Z5" s="1"/>
      <c r="AB5" s="1"/>
    </row>
    <row r="6" spans="1:28" x14ac:dyDescent="0.25">
      <c r="A6" s="23">
        <v>1</v>
      </c>
      <c r="B6" s="19"/>
      <c r="C6" s="3"/>
      <c r="D6" s="3"/>
      <c r="E6" s="3"/>
      <c r="F6" s="3"/>
      <c r="G6" s="3"/>
      <c r="H6" s="3"/>
      <c r="I6" s="3"/>
      <c r="J6" s="3"/>
      <c r="K6" s="5"/>
      <c r="L6" s="3"/>
      <c r="M6" s="3"/>
      <c r="N6" s="3"/>
      <c r="O6" s="88">
        <f t="shared" si="0"/>
        <v>0</v>
      </c>
      <c r="P6" s="88">
        <f t="shared" si="1"/>
        <v>0</v>
      </c>
      <c r="Q6" s="88">
        <f t="shared" si="2"/>
        <v>0</v>
      </c>
      <c r="R6" s="88">
        <f t="shared" si="3"/>
        <v>0</v>
      </c>
      <c r="S6" s="88">
        <f t="shared" si="4"/>
        <v>0</v>
      </c>
      <c r="T6" s="3"/>
      <c r="U6" s="3">
        <f t="shared" si="5"/>
        <v>0</v>
      </c>
      <c r="W6" s="49" t="s">
        <v>52</v>
      </c>
      <c r="X6" s="51">
        <f>SUM(K4:K33)</f>
        <v>0</v>
      </c>
      <c r="Y6" s="52"/>
      <c r="AA6" s="95" t="s">
        <v>86</v>
      </c>
      <c r="AB6" s="94" t="str">
        <f>IFERROR(ABS(SUM(X14:X19)) / ((X3 - ABS(SUM(X5:X12))) / X3), "")</f>
        <v/>
      </c>
    </row>
    <row r="7" spans="1:28" x14ac:dyDescent="0.25">
      <c r="A7" s="23">
        <v>2</v>
      </c>
      <c r="B7" s="3"/>
      <c r="C7" s="3"/>
      <c r="D7" s="3"/>
      <c r="E7" s="3"/>
      <c r="F7" s="3"/>
      <c r="G7" s="3"/>
      <c r="H7" s="3"/>
      <c r="I7" s="3"/>
      <c r="J7" s="3"/>
      <c r="K7" s="5"/>
      <c r="L7" s="3"/>
      <c r="M7" s="3"/>
      <c r="N7" s="3"/>
      <c r="O7" s="88">
        <f t="shared" si="0"/>
        <v>0</v>
      </c>
      <c r="P7" s="88">
        <f t="shared" si="1"/>
        <v>0</v>
      </c>
      <c r="Q7" s="88">
        <f t="shared" si="2"/>
        <v>0</v>
      </c>
      <c r="R7" s="88">
        <f t="shared" si="3"/>
        <v>0</v>
      </c>
      <c r="S7" s="88">
        <f t="shared" si="4"/>
        <v>0</v>
      </c>
      <c r="T7" s="3"/>
      <c r="U7" s="3">
        <f t="shared" si="5"/>
        <v>0</v>
      </c>
      <c r="W7" s="49" t="s">
        <v>53</v>
      </c>
      <c r="X7" s="55"/>
      <c r="Y7" s="55"/>
    </row>
    <row r="8" spans="1:28" x14ac:dyDescent="0.25">
      <c r="A8" s="23">
        <v>3</v>
      </c>
      <c r="B8" s="3"/>
      <c r="C8" s="3"/>
      <c r="D8" s="3"/>
      <c r="E8" s="3"/>
      <c r="F8" s="3"/>
      <c r="G8" s="3"/>
      <c r="H8" s="3"/>
      <c r="I8" s="3"/>
      <c r="J8" s="3"/>
      <c r="K8" s="5"/>
      <c r="L8" s="3"/>
      <c r="M8" s="3"/>
      <c r="N8" s="3"/>
      <c r="O8" s="88">
        <f t="shared" si="0"/>
        <v>0</v>
      </c>
      <c r="P8" s="88">
        <f t="shared" si="1"/>
        <v>0</v>
      </c>
      <c r="Q8" s="88">
        <f t="shared" si="2"/>
        <v>0</v>
      </c>
      <c r="R8" s="88">
        <f t="shared" si="3"/>
        <v>0</v>
      </c>
      <c r="S8" s="88">
        <f t="shared" si="4"/>
        <v>0</v>
      </c>
      <c r="T8" s="3"/>
      <c r="U8" s="3">
        <f t="shared" si="5"/>
        <v>0</v>
      </c>
      <c r="W8" s="49" t="s">
        <v>41</v>
      </c>
      <c r="X8" s="51">
        <f>(SUM(J4:J33))/31</f>
        <v>0</v>
      </c>
      <c r="Y8" s="51"/>
    </row>
    <row r="9" spans="1:28" x14ac:dyDescent="0.25">
      <c r="A9" s="23">
        <v>4</v>
      </c>
      <c r="B9" s="3"/>
      <c r="C9" s="3"/>
      <c r="D9" s="3"/>
      <c r="E9" s="3"/>
      <c r="F9" s="3"/>
      <c r="G9" s="3"/>
      <c r="H9" s="3"/>
      <c r="I9" s="3"/>
      <c r="J9" s="3"/>
      <c r="K9" s="5"/>
      <c r="L9" s="3"/>
      <c r="M9" s="3"/>
      <c r="N9" s="3"/>
      <c r="O9" s="88">
        <f t="shared" si="0"/>
        <v>0</v>
      </c>
      <c r="P9" s="88">
        <f t="shared" si="1"/>
        <v>0</v>
      </c>
      <c r="Q9" s="88">
        <f t="shared" si="2"/>
        <v>0</v>
      </c>
      <c r="R9" s="88">
        <f t="shared" si="3"/>
        <v>0</v>
      </c>
      <c r="S9" s="88">
        <f t="shared" si="4"/>
        <v>0</v>
      </c>
      <c r="T9" s="3"/>
      <c r="U9" s="3">
        <f t="shared" si="5"/>
        <v>0</v>
      </c>
      <c r="W9" s="49" t="s">
        <v>54</v>
      </c>
      <c r="X9" s="51">
        <f>SUM(L4:L33)</f>
        <v>0</v>
      </c>
      <c r="Y9" s="52"/>
    </row>
    <row r="10" spans="1:28" x14ac:dyDescent="0.25">
      <c r="A10" s="23">
        <v>5</v>
      </c>
      <c r="B10" s="3"/>
      <c r="C10" s="3"/>
      <c r="D10" s="3"/>
      <c r="E10" s="3"/>
      <c r="F10" s="3"/>
      <c r="G10" s="3"/>
      <c r="H10" s="3"/>
      <c r="I10" s="3"/>
      <c r="J10" s="3"/>
      <c r="K10" s="5"/>
      <c r="L10" s="3"/>
      <c r="M10" s="3"/>
      <c r="N10" s="3"/>
      <c r="O10" s="88">
        <f t="shared" si="0"/>
        <v>0</v>
      </c>
      <c r="P10" s="88">
        <f t="shared" si="1"/>
        <v>0</v>
      </c>
      <c r="Q10" s="88">
        <f t="shared" si="2"/>
        <v>0</v>
      </c>
      <c r="R10" s="88">
        <f t="shared" si="3"/>
        <v>0</v>
      </c>
      <c r="S10" s="88">
        <f t="shared" si="4"/>
        <v>0</v>
      </c>
      <c r="T10" s="3"/>
      <c r="U10" s="3">
        <f t="shared" si="5"/>
        <v>0</v>
      </c>
      <c r="W10" s="49" t="s">
        <v>55</v>
      </c>
      <c r="X10" s="51">
        <f>SUM(M4:M33)</f>
        <v>0</v>
      </c>
      <c r="Y10" s="52"/>
    </row>
    <row r="11" spans="1:28" x14ac:dyDescent="0.25">
      <c r="A11" s="23">
        <v>6</v>
      </c>
      <c r="B11" s="19"/>
      <c r="C11" s="3"/>
      <c r="D11" s="3"/>
      <c r="E11" s="3"/>
      <c r="F11" s="3"/>
      <c r="G11" s="3"/>
      <c r="H11" s="3"/>
      <c r="I11" s="3"/>
      <c r="J11" s="3"/>
      <c r="K11" s="5"/>
      <c r="L11" s="3"/>
      <c r="M11" s="3"/>
      <c r="N11" s="3"/>
      <c r="O11" s="88">
        <f t="shared" si="0"/>
        <v>0</v>
      </c>
      <c r="P11" s="88">
        <f t="shared" si="1"/>
        <v>0</v>
      </c>
      <c r="Q11" s="88">
        <f t="shared" si="2"/>
        <v>0</v>
      </c>
      <c r="R11" s="88">
        <f t="shared" si="3"/>
        <v>0</v>
      </c>
      <c r="S11" s="88">
        <f t="shared" si="4"/>
        <v>0</v>
      </c>
      <c r="T11" s="3"/>
      <c r="U11" s="3">
        <f t="shared" si="5"/>
        <v>0</v>
      </c>
      <c r="W11" s="49" t="s">
        <v>94</v>
      </c>
      <c r="X11" s="51">
        <f>SUM(N4:N34)</f>
        <v>0</v>
      </c>
      <c r="Y11" s="52"/>
    </row>
    <row r="12" spans="1:28" x14ac:dyDescent="0.25">
      <c r="A12" s="23">
        <v>7</v>
      </c>
      <c r="B12" s="3"/>
      <c r="C12" s="3"/>
      <c r="D12" s="3"/>
      <c r="E12" s="3"/>
      <c r="F12" s="3"/>
      <c r="G12" s="3"/>
      <c r="H12" s="3"/>
      <c r="I12" s="3"/>
      <c r="J12" s="3"/>
      <c r="K12" s="5"/>
      <c r="L12" s="3"/>
      <c r="M12" s="3"/>
      <c r="N12" s="3"/>
      <c r="O12" s="88">
        <f t="shared" si="0"/>
        <v>0</v>
      </c>
      <c r="P12" s="88">
        <f t="shared" si="1"/>
        <v>0</v>
      </c>
      <c r="Q12" s="88">
        <f t="shared" si="2"/>
        <v>0</v>
      </c>
      <c r="R12" s="88">
        <f t="shared" si="3"/>
        <v>0</v>
      </c>
      <c r="S12" s="88">
        <f t="shared" si="4"/>
        <v>0</v>
      </c>
      <c r="T12" s="3"/>
      <c r="U12" s="3">
        <f t="shared" si="5"/>
        <v>0</v>
      </c>
      <c r="W12" s="49" t="s">
        <v>56</v>
      </c>
      <c r="X12" s="51">
        <f>-X3*X4</f>
        <v>0</v>
      </c>
      <c r="Y12" s="52"/>
    </row>
    <row r="13" spans="1:28" x14ac:dyDescent="0.25">
      <c r="A13" s="23">
        <v>8</v>
      </c>
      <c r="B13" s="3"/>
      <c r="C13" s="3"/>
      <c r="D13" s="3"/>
      <c r="E13" s="3"/>
      <c r="F13" s="3"/>
      <c r="G13" s="3"/>
      <c r="H13" s="3"/>
      <c r="I13" s="3"/>
      <c r="J13" s="3"/>
      <c r="K13" s="5"/>
      <c r="L13" s="3"/>
      <c r="M13" s="3"/>
      <c r="N13" s="3"/>
      <c r="O13" s="88">
        <f t="shared" si="0"/>
        <v>0</v>
      </c>
      <c r="P13" s="88">
        <f t="shared" si="1"/>
        <v>0</v>
      </c>
      <c r="Q13" s="88">
        <f t="shared" si="2"/>
        <v>0</v>
      </c>
      <c r="R13" s="88">
        <f t="shared" si="3"/>
        <v>0</v>
      </c>
      <c r="S13" s="88">
        <f t="shared" si="4"/>
        <v>0</v>
      </c>
      <c r="T13" s="3"/>
      <c r="U13" s="3">
        <f t="shared" si="5"/>
        <v>0</v>
      </c>
      <c r="W13" s="49" t="s">
        <v>57</v>
      </c>
      <c r="X13" s="55"/>
      <c r="Y13" s="52"/>
    </row>
    <row r="14" spans="1:28" x14ac:dyDescent="0.25">
      <c r="A14" s="23">
        <v>9</v>
      </c>
      <c r="B14" s="3"/>
      <c r="C14" s="3"/>
      <c r="D14" s="3"/>
      <c r="E14" s="3"/>
      <c r="F14" s="3"/>
      <c r="G14" s="3"/>
      <c r="H14" s="3"/>
      <c r="I14" s="3"/>
      <c r="J14" s="3"/>
      <c r="K14" s="5"/>
      <c r="L14" s="3"/>
      <c r="M14" s="3"/>
      <c r="N14" s="3"/>
      <c r="O14" s="88">
        <f t="shared" si="0"/>
        <v>0</v>
      </c>
      <c r="P14" s="88">
        <f t="shared" si="1"/>
        <v>0</v>
      </c>
      <c r="Q14" s="88">
        <f t="shared" si="2"/>
        <v>0</v>
      </c>
      <c r="R14" s="88">
        <f t="shared" si="3"/>
        <v>0</v>
      </c>
      <c r="S14" s="88">
        <f t="shared" si="4"/>
        <v>0</v>
      </c>
      <c r="T14" s="3"/>
      <c r="U14" s="3">
        <f t="shared" si="5"/>
        <v>0</v>
      </c>
      <c r="W14" s="49" t="s">
        <v>38</v>
      </c>
      <c r="X14" s="51">
        <f>SUM(T4:T33)</f>
        <v>0</v>
      </c>
      <c r="Y14" s="52"/>
    </row>
    <row r="15" spans="1:28" x14ac:dyDescent="0.25">
      <c r="A15" s="23">
        <v>10</v>
      </c>
      <c r="B15" s="3"/>
      <c r="C15" s="3"/>
      <c r="D15" s="3"/>
      <c r="E15" s="3"/>
      <c r="F15" s="22"/>
      <c r="G15" s="3"/>
      <c r="H15" s="3"/>
      <c r="I15" s="3"/>
      <c r="J15" s="3"/>
      <c r="K15" s="5"/>
      <c r="L15" s="3"/>
      <c r="M15" s="3"/>
      <c r="N15" s="3"/>
      <c r="O15" s="88">
        <f t="shared" si="0"/>
        <v>0</v>
      </c>
      <c r="P15" s="88">
        <f t="shared" si="1"/>
        <v>0</v>
      </c>
      <c r="Q15" s="88">
        <f t="shared" si="2"/>
        <v>0</v>
      </c>
      <c r="R15" s="88">
        <f t="shared" si="3"/>
        <v>0</v>
      </c>
      <c r="S15" s="88">
        <f t="shared" si="4"/>
        <v>0</v>
      </c>
      <c r="T15" s="3"/>
      <c r="U15" s="3">
        <f t="shared" si="5"/>
        <v>0</v>
      </c>
      <c r="W15" s="49" t="s">
        <v>37</v>
      </c>
      <c r="X15" s="55"/>
      <c r="Y15" s="52"/>
    </row>
    <row r="16" spans="1:28" x14ac:dyDescent="0.25">
      <c r="A16" s="23">
        <v>11</v>
      </c>
      <c r="B16" s="3"/>
      <c r="C16" s="3"/>
      <c r="D16" s="3"/>
      <c r="E16" s="3"/>
      <c r="F16" s="3"/>
      <c r="G16" s="3"/>
      <c r="H16" s="3"/>
      <c r="I16" s="3"/>
      <c r="J16" s="3"/>
      <c r="K16" s="5"/>
      <c r="L16" s="3"/>
      <c r="M16" s="3"/>
      <c r="N16" s="3"/>
      <c r="O16" s="88">
        <f t="shared" si="0"/>
        <v>0</v>
      </c>
      <c r="P16" s="88">
        <f t="shared" si="1"/>
        <v>0</v>
      </c>
      <c r="Q16" s="88">
        <f t="shared" si="2"/>
        <v>0</v>
      </c>
      <c r="R16" s="88">
        <f t="shared" si="3"/>
        <v>0</v>
      </c>
      <c r="S16" s="88">
        <f t="shared" si="4"/>
        <v>0</v>
      </c>
      <c r="T16" s="3"/>
      <c r="U16" s="3">
        <f t="shared" si="5"/>
        <v>0</v>
      </c>
      <c r="W16" s="49" t="s">
        <v>35</v>
      </c>
      <c r="X16" s="55"/>
      <c r="Y16" s="52"/>
    </row>
    <row r="17" spans="1:27" x14ac:dyDescent="0.25">
      <c r="A17" s="23">
        <v>12</v>
      </c>
      <c r="B17" s="3"/>
      <c r="C17" s="3"/>
      <c r="D17" s="3"/>
      <c r="E17" s="3"/>
      <c r="F17" s="3"/>
      <c r="G17" s="3"/>
      <c r="H17" s="3"/>
      <c r="I17" s="3"/>
      <c r="J17" s="3"/>
      <c r="K17" s="5"/>
      <c r="L17" s="3"/>
      <c r="M17" s="3"/>
      <c r="N17" s="3"/>
      <c r="O17" s="88">
        <f t="shared" si="0"/>
        <v>0</v>
      </c>
      <c r="P17" s="88">
        <f t="shared" si="1"/>
        <v>0</v>
      </c>
      <c r="Q17" s="88">
        <f t="shared" si="2"/>
        <v>0</v>
      </c>
      <c r="R17" s="88">
        <f t="shared" si="3"/>
        <v>0</v>
      </c>
      <c r="S17" s="88">
        <f t="shared" si="4"/>
        <v>0</v>
      </c>
      <c r="T17" s="3"/>
      <c r="U17" s="3">
        <f t="shared" si="5"/>
        <v>0</v>
      </c>
      <c r="W17" s="49" t="s">
        <v>58</v>
      </c>
      <c r="X17" s="55">
        <v>0</v>
      </c>
      <c r="Y17" s="52"/>
    </row>
    <row r="18" spans="1:27" x14ac:dyDescent="0.25">
      <c r="A18" s="23">
        <v>13</v>
      </c>
      <c r="B18" s="3"/>
      <c r="C18" s="3"/>
      <c r="D18" s="3"/>
      <c r="E18" s="3"/>
      <c r="F18" s="3"/>
      <c r="G18" s="3"/>
      <c r="H18" s="3"/>
      <c r="I18" s="3"/>
      <c r="J18" s="3"/>
      <c r="K18" s="5"/>
      <c r="L18" s="3"/>
      <c r="M18" s="3"/>
      <c r="N18" s="3"/>
      <c r="O18" s="88">
        <f t="shared" si="0"/>
        <v>0</v>
      </c>
      <c r="P18" s="88">
        <f t="shared" si="1"/>
        <v>0</v>
      </c>
      <c r="Q18" s="88">
        <f t="shared" si="2"/>
        <v>0</v>
      </c>
      <c r="R18" s="88">
        <f t="shared" si="3"/>
        <v>0</v>
      </c>
      <c r="S18" s="88">
        <f t="shared" si="4"/>
        <v>0</v>
      </c>
      <c r="T18" s="3"/>
      <c r="U18" s="3">
        <f t="shared" si="5"/>
        <v>0</v>
      </c>
      <c r="W18" s="49" t="s">
        <v>90</v>
      </c>
      <c r="X18" s="55"/>
      <c r="Y18" s="52"/>
    </row>
    <row r="19" spans="1:27" x14ac:dyDescent="0.25">
      <c r="A19" s="23">
        <v>14</v>
      </c>
      <c r="B19" s="3"/>
      <c r="C19" s="3"/>
      <c r="D19" s="3"/>
      <c r="E19" s="3"/>
      <c r="F19" s="3"/>
      <c r="G19" s="3"/>
      <c r="H19" s="3"/>
      <c r="I19" s="3"/>
      <c r="J19" s="3"/>
      <c r="K19" s="5"/>
      <c r="L19" s="3"/>
      <c r="M19" s="3"/>
      <c r="N19" s="3"/>
      <c r="O19" s="88">
        <f t="shared" si="0"/>
        <v>0</v>
      </c>
      <c r="P19" s="88">
        <f t="shared" si="1"/>
        <v>0</v>
      </c>
      <c r="Q19" s="88">
        <f t="shared" si="2"/>
        <v>0</v>
      </c>
      <c r="R19" s="88">
        <f t="shared" si="3"/>
        <v>0</v>
      </c>
      <c r="S19" s="88">
        <f t="shared" si="4"/>
        <v>0</v>
      </c>
      <c r="T19" s="3"/>
      <c r="U19" s="3">
        <f t="shared" si="5"/>
        <v>0</v>
      </c>
      <c r="W19" s="49" t="s">
        <v>91</v>
      </c>
      <c r="X19" s="51">
        <f>(X18*20%)+(-X21*11%)</f>
        <v>0</v>
      </c>
      <c r="Y19" s="52"/>
    </row>
    <row r="20" spans="1:27" x14ac:dyDescent="0.25">
      <c r="A20" s="23">
        <v>15</v>
      </c>
      <c r="B20" s="3"/>
      <c r="C20" s="3"/>
      <c r="D20" s="3"/>
      <c r="E20" s="3"/>
      <c r="F20" s="3"/>
      <c r="G20" s="3"/>
      <c r="H20" s="3"/>
      <c r="I20" s="3"/>
      <c r="J20" s="3"/>
      <c r="K20" s="5"/>
      <c r="L20" s="3"/>
      <c r="M20" s="3"/>
      <c r="N20" s="3"/>
      <c r="O20" s="88">
        <f t="shared" si="0"/>
        <v>0</v>
      </c>
      <c r="P20" s="88">
        <f t="shared" si="1"/>
        <v>0</v>
      </c>
      <c r="Q20" s="88">
        <f t="shared" si="2"/>
        <v>0</v>
      </c>
      <c r="R20" s="88">
        <f t="shared" si="3"/>
        <v>0</v>
      </c>
      <c r="S20" s="88">
        <f t="shared" si="4"/>
        <v>0</v>
      </c>
      <c r="T20" s="3"/>
      <c r="U20" s="3">
        <f t="shared" si="5"/>
        <v>0</v>
      </c>
      <c r="W20" s="49" t="s">
        <v>42</v>
      </c>
      <c r="X20" s="55"/>
      <c r="Y20" s="52"/>
    </row>
    <row r="21" spans="1:27" ht="15.75" thickBot="1" x14ac:dyDescent="0.3">
      <c r="A21" s="23">
        <v>16</v>
      </c>
      <c r="B21" s="3"/>
      <c r="C21" s="3"/>
      <c r="D21" s="3"/>
      <c r="E21" s="3"/>
      <c r="F21" s="3"/>
      <c r="G21" s="3"/>
      <c r="H21" s="3"/>
      <c r="I21" s="3"/>
      <c r="J21" s="3"/>
      <c r="K21" s="5"/>
      <c r="L21" s="3"/>
      <c r="M21" s="3"/>
      <c r="N21" s="3"/>
      <c r="O21" s="88">
        <f t="shared" si="0"/>
        <v>0</v>
      </c>
      <c r="P21" s="88">
        <f t="shared" si="1"/>
        <v>0</v>
      </c>
      <c r="Q21" s="88">
        <f t="shared" si="2"/>
        <v>0</v>
      </c>
      <c r="R21" s="88">
        <f t="shared" si="3"/>
        <v>0</v>
      </c>
      <c r="S21" s="88">
        <f t="shared" si="4"/>
        <v>0</v>
      </c>
      <c r="T21" s="3"/>
      <c r="U21" s="3">
        <f t="shared" si="5"/>
        <v>0</v>
      </c>
      <c r="W21" s="50" t="s">
        <v>43</v>
      </c>
      <c r="X21" s="56">
        <f>X3+X5+X6+X9+X10+X12+X13+X15+X16+X17+X18+X20+X7</f>
        <v>0</v>
      </c>
      <c r="Y21" s="35">
        <f>Y3+Y5+Y6+Y7+Y9+Y10+Y12+Y13+Y15+Y16+Y17+Y18+Y20</f>
        <v>0</v>
      </c>
      <c r="Z21" s="1"/>
      <c r="AA21" s="1"/>
    </row>
    <row r="22" spans="1:27" ht="15.75" thickBot="1" x14ac:dyDescent="0.3">
      <c r="A22" s="23">
        <v>17</v>
      </c>
      <c r="B22" s="3"/>
      <c r="C22" s="3"/>
      <c r="D22" s="3"/>
      <c r="E22" s="3"/>
      <c r="F22" s="3"/>
      <c r="G22" s="3"/>
      <c r="H22" s="3"/>
      <c r="I22" s="3"/>
      <c r="J22" s="3"/>
      <c r="K22" s="5"/>
      <c r="L22" s="3"/>
      <c r="M22" s="3"/>
      <c r="N22" s="3"/>
      <c r="O22" s="88">
        <f t="shared" si="0"/>
        <v>0</v>
      </c>
      <c r="P22" s="88">
        <f t="shared" si="1"/>
        <v>0</v>
      </c>
      <c r="Q22" s="88">
        <f t="shared" si="2"/>
        <v>0</v>
      </c>
      <c r="R22" s="88">
        <f t="shared" si="3"/>
        <v>0</v>
      </c>
      <c r="S22" s="88">
        <f t="shared" si="4"/>
        <v>0</v>
      </c>
      <c r="T22" s="3"/>
      <c r="U22" s="3">
        <f t="shared" si="5"/>
        <v>0</v>
      </c>
      <c r="W22" s="50" t="s">
        <v>92</v>
      </c>
      <c r="X22" s="56">
        <f>X3+X5+X6+X7+X9+X10+X12+X13+X14+X15+X16+X17+X18+X19+X20</f>
        <v>0</v>
      </c>
      <c r="Y22" s="35">
        <f>Y3+Y5+Y6+Y7+Y9+Y10+Y12+Y13+Y15+Y16+Y17+Y18+Y19+Y20</f>
        <v>0</v>
      </c>
    </row>
    <row r="23" spans="1:27" x14ac:dyDescent="0.25">
      <c r="A23" s="23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88">
        <f t="shared" si="0"/>
        <v>0</v>
      </c>
      <c r="P23" s="88">
        <f t="shared" si="1"/>
        <v>0</v>
      </c>
      <c r="Q23" s="88">
        <f t="shared" si="2"/>
        <v>0</v>
      </c>
      <c r="R23" s="88">
        <f t="shared" si="3"/>
        <v>0</v>
      </c>
      <c r="S23" s="88">
        <f t="shared" si="4"/>
        <v>0</v>
      </c>
      <c r="T23" s="3"/>
      <c r="U23" s="3">
        <f t="shared" si="5"/>
        <v>0</v>
      </c>
    </row>
    <row r="24" spans="1:27" x14ac:dyDescent="0.25">
      <c r="A24" s="23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88">
        <f t="shared" si="0"/>
        <v>0</v>
      </c>
      <c r="P24" s="88">
        <f t="shared" si="1"/>
        <v>0</v>
      </c>
      <c r="Q24" s="88">
        <f t="shared" si="2"/>
        <v>0</v>
      </c>
      <c r="R24" s="88">
        <f t="shared" si="3"/>
        <v>0</v>
      </c>
      <c r="S24" s="88">
        <f t="shared" si="4"/>
        <v>0</v>
      </c>
      <c r="T24" s="3"/>
      <c r="U24" s="3">
        <f t="shared" si="5"/>
        <v>0</v>
      </c>
      <c r="W24" s="13" t="s">
        <v>44</v>
      </c>
      <c r="X24" s="36">
        <f>X6+X5+X14+X13</f>
        <v>0</v>
      </c>
      <c r="Y24" s="14"/>
    </row>
    <row r="25" spans="1:27" x14ac:dyDescent="0.25">
      <c r="A25" s="23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88">
        <f t="shared" si="0"/>
        <v>0</v>
      </c>
      <c r="P25" s="88">
        <f t="shared" si="1"/>
        <v>0</v>
      </c>
      <c r="Q25" s="88">
        <f t="shared" si="2"/>
        <v>0</v>
      </c>
      <c r="R25" s="88">
        <f t="shared" si="3"/>
        <v>0</v>
      </c>
      <c r="S25" s="88">
        <f t="shared" si="4"/>
        <v>0</v>
      </c>
      <c r="T25" s="3"/>
      <c r="U25" s="3">
        <f t="shared" si="5"/>
        <v>0</v>
      </c>
    </row>
    <row r="26" spans="1:27" x14ac:dyDescent="0.25">
      <c r="A26" s="23">
        <v>21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88">
        <f t="shared" si="0"/>
        <v>0</v>
      </c>
      <c r="P26" s="88">
        <f t="shared" si="1"/>
        <v>0</v>
      </c>
      <c r="Q26" s="88">
        <f t="shared" si="2"/>
        <v>0</v>
      </c>
      <c r="R26" s="88">
        <f t="shared" si="3"/>
        <v>0</v>
      </c>
      <c r="S26" s="88">
        <f t="shared" si="4"/>
        <v>0</v>
      </c>
      <c r="T26" s="3"/>
      <c r="U26" s="3">
        <f t="shared" si="5"/>
        <v>0</v>
      </c>
      <c r="W26" s="1"/>
    </row>
    <row r="27" spans="1:27" x14ac:dyDescent="0.25">
      <c r="A27" s="23">
        <v>22</v>
      </c>
      <c r="B27" s="3"/>
      <c r="C27" s="3"/>
      <c r="D27" s="3"/>
      <c r="E27" s="3"/>
      <c r="F27" s="22"/>
      <c r="G27" s="3"/>
      <c r="H27" s="3"/>
      <c r="I27" s="3"/>
      <c r="J27" s="3"/>
      <c r="K27" s="5"/>
      <c r="L27" s="3"/>
      <c r="M27" s="3"/>
      <c r="N27" s="3"/>
      <c r="O27" s="88">
        <f t="shared" si="0"/>
        <v>0</v>
      </c>
      <c r="P27" s="88">
        <f t="shared" si="1"/>
        <v>0</v>
      </c>
      <c r="Q27" s="88">
        <f t="shared" si="2"/>
        <v>0</v>
      </c>
      <c r="R27" s="88">
        <f t="shared" si="3"/>
        <v>0</v>
      </c>
      <c r="S27" s="88">
        <f t="shared" si="4"/>
        <v>0</v>
      </c>
      <c r="T27" s="3"/>
      <c r="U27" s="3">
        <f t="shared" si="5"/>
        <v>0</v>
      </c>
      <c r="W27" s="11" t="s">
        <v>45</v>
      </c>
      <c r="X27" s="42">
        <f>(X22*X30)</f>
        <v>0</v>
      </c>
      <c r="Y27" s="12">
        <f>Y22*50%</f>
        <v>0</v>
      </c>
    </row>
    <row r="28" spans="1:27" x14ac:dyDescent="0.25">
      <c r="A28" s="23">
        <v>23</v>
      </c>
      <c r="B28" s="3"/>
      <c r="C28" s="3"/>
      <c r="D28" s="3"/>
      <c r="E28" s="3"/>
      <c r="F28" s="22"/>
      <c r="G28" s="3"/>
      <c r="H28" s="3"/>
      <c r="I28" s="3"/>
      <c r="J28" s="3"/>
      <c r="K28" s="5"/>
      <c r="L28" s="3"/>
      <c r="M28" s="3"/>
      <c r="N28" s="3"/>
      <c r="O28" s="88">
        <f t="shared" si="0"/>
        <v>0</v>
      </c>
      <c r="P28" s="88">
        <f t="shared" si="1"/>
        <v>0</v>
      </c>
      <c r="Q28" s="88">
        <f t="shared" si="2"/>
        <v>0</v>
      </c>
      <c r="R28" s="88">
        <f t="shared" si="3"/>
        <v>0</v>
      </c>
      <c r="S28" s="88">
        <f t="shared" si="4"/>
        <v>0</v>
      </c>
      <c r="T28" s="3"/>
      <c r="U28" s="3">
        <f t="shared" si="5"/>
        <v>0</v>
      </c>
      <c r="W28" s="11" t="s">
        <v>46</v>
      </c>
      <c r="X28" s="42">
        <f>X22*X31</f>
        <v>0</v>
      </c>
      <c r="Y28" s="12">
        <f>Y22*X31</f>
        <v>0</v>
      </c>
    </row>
    <row r="29" spans="1:27" ht="15.75" thickBot="1" x14ac:dyDescent="0.3">
      <c r="A29" s="23">
        <v>24</v>
      </c>
      <c r="B29" s="3"/>
      <c r="C29" s="3"/>
      <c r="D29" s="3"/>
      <c r="E29" s="3"/>
      <c r="F29" s="22"/>
      <c r="G29" s="3"/>
      <c r="H29" s="3"/>
      <c r="I29" s="3"/>
      <c r="J29" s="3"/>
      <c r="K29" s="5"/>
      <c r="L29" s="3"/>
      <c r="M29" s="3"/>
      <c r="N29" s="3"/>
      <c r="O29" s="88">
        <f t="shared" si="0"/>
        <v>0</v>
      </c>
      <c r="P29" s="88">
        <f t="shared" si="1"/>
        <v>0</v>
      </c>
      <c r="Q29" s="88">
        <f t="shared" si="2"/>
        <v>0</v>
      </c>
      <c r="R29" s="88">
        <f t="shared" si="3"/>
        <v>0</v>
      </c>
      <c r="S29" s="88">
        <f t="shared" si="4"/>
        <v>0</v>
      </c>
      <c r="T29" s="3"/>
      <c r="U29" s="3">
        <f t="shared" si="5"/>
        <v>0</v>
      </c>
      <c r="Y29" s="1"/>
    </row>
    <row r="30" spans="1:27" ht="15.75" thickBot="1" x14ac:dyDescent="0.3">
      <c r="A30" s="23">
        <v>25</v>
      </c>
      <c r="B30" s="3"/>
      <c r="C30" s="3"/>
      <c r="D30" s="3"/>
      <c r="E30" s="3"/>
      <c r="F30" s="22"/>
      <c r="G30" s="3"/>
      <c r="H30" s="3"/>
      <c r="I30" s="3"/>
      <c r="J30" s="3"/>
      <c r="K30" s="5"/>
      <c r="L30" s="5"/>
      <c r="M30" s="3"/>
      <c r="N30" s="3"/>
      <c r="O30" s="88">
        <f t="shared" si="0"/>
        <v>0</v>
      </c>
      <c r="P30" s="88">
        <f t="shared" si="1"/>
        <v>0</v>
      </c>
      <c r="Q30" s="88">
        <f t="shared" si="2"/>
        <v>0</v>
      </c>
      <c r="R30" s="88">
        <f t="shared" si="3"/>
        <v>0</v>
      </c>
      <c r="S30" s="88">
        <f t="shared" si="4"/>
        <v>0</v>
      </c>
      <c r="T30" s="3"/>
      <c r="U30" s="3">
        <f t="shared" si="5"/>
        <v>0</v>
      </c>
      <c r="W30" s="46" t="s">
        <v>73</v>
      </c>
      <c r="X30" s="47">
        <v>0.5</v>
      </c>
    </row>
    <row r="31" spans="1:27" ht="15.75" thickBot="1" x14ac:dyDescent="0.3">
      <c r="A31" s="23">
        <v>26</v>
      </c>
      <c r="B31" s="3"/>
      <c r="C31" s="3"/>
      <c r="D31" s="3"/>
      <c r="E31" s="3"/>
      <c r="F31" s="22"/>
      <c r="G31" s="3"/>
      <c r="H31" s="3"/>
      <c r="I31" s="3"/>
      <c r="J31" s="3"/>
      <c r="K31" s="5"/>
      <c r="L31" s="3"/>
      <c r="M31" s="3"/>
      <c r="N31" s="3"/>
      <c r="O31" s="88">
        <f t="shared" si="0"/>
        <v>0</v>
      </c>
      <c r="P31" s="88">
        <f t="shared" si="1"/>
        <v>0</v>
      </c>
      <c r="Q31" s="88">
        <f t="shared" si="2"/>
        <v>0</v>
      </c>
      <c r="R31" s="88">
        <f t="shared" si="3"/>
        <v>0</v>
      </c>
      <c r="S31" s="88">
        <f t="shared" si="4"/>
        <v>0</v>
      </c>
      <c r="T31" s="3"/>
      <c r="U31" s="3">
        <f t="shared" si="5"/>
        <v>0</v>
      </c>
      <c r="W31" s="46" t="s">
        <v>46</v>
      </c>
      <c r="X31" s="48">
        <v>0.5</v>
      </c>
      <c r="Z31" s="118"/>
      <c r="AA31" s="119"/>
    </row>
    <row r="32" spans="1:27" ht="15.75" thickBot="1" x14ac:dyDescent="0.3">
      <c r="A32" s="23">
        <v>27</v>
      </c>
      <c r="B32" s="3"/>
      <c r="C32" s="3"/>
      <c r="D32" s="3"/>
      <c r="E32" s="3"/>
      <c r="F32" s="22"/>
      <c r="G32" s="3"/>
      <c r="H32" s="3"/>
      <c r="I32" s="3"/>
      <c r="J32" s="3"/>
      <c r="K32" s="5"/>
      <c r="L32" s="3"/>
      <c r="M32" s="3"/>
      <c r="N32" s="3"/>
      <c r="O32" s="88">
        <f t="shared" si="0"/>
        <v>0</v>
      </c>
      <c r="P32" s="88">
        <f t="shared" si="1"/>
        <v>0</v>
      </c>
      <c r="Q32" s="88">
        <f t="shared" si="2"/>
        <v>0</v>
      </c>
      <c r="R32" s="88">
        <f t="shared" si="3"/>
        <v>0</v>
      </c>
      <c r="S32" s="88">
        <f t="shared" si="4"/>
        <v>0</v>
      </c>
      <c r="T32" s="3"/>
      <c r="U32" s="3">
        <f t="shared" si="5"/>
        <v>0</v>
      </c>
      <c r="W32" s="1"/>
      <c r="X32" s="40"/>
      <c r="Y32" s="117" t="s">
        <v>71</v>
      </c>
      <c r="Z32" s="44"/>
      <c r="AA32" s="45"/>
    </row>
    <row r="33" spans="1:28" s="1" customFormat="1" ht="15.75" thickBot="1" x14ac:dyDescent="0.3">
      <c r="A33" s="23">
        <v>28</v>
      </c>
      <c r="B33" s="3"/>
      <c r="C33" s="3"/>
      <c r="D33" s="3"/>
      <c r="E33" s="3"/>
      <c r="F33" s="22"/>
      <c r="G33" s="3"/>
      <c r="H33" s="3"/>
      <c r="I33" s="3"/>
      <c r="J33" s="3"/>
      <c r="K33" s="5"/>
      <c r="L33" s="3"/>
      <c r="M33" s="3"/>
      <c r="N33" s="3"/>
      <c r="O33" s="88">
        <f t="shared" si="0"/>
        <v>0</v>
      </c>
      <c r="P33" s="88">
        <f t="shared" si="1"/>
        <v>0</v>
      </c>
      <c r="Q33" s="88">
        <f t="shared" si="2"/>
        <v>0</v>
      </c>
      <c r="R33" s="88">
        <f t="shared" si="3"/>
        <v>0</v>
      </c>
      <c r="S33" s="88">
        <f t="shared" si="4"/>
        <v>0</v>
      </c>
      <c r="T33" s="3"/>
      <c r="U33" s="3">
        <f t="shared" si="5"/>
        <v>0</v>
      </c>
      <c r="V33" s="6"/>
      <c r="X33" s="41"/>
      <c r="Y33" s="43" t="s">
        <v>72</v>
      </c>
      <c r="Z33" s="6"/>
      <c r="AA33" s="6"/>
      <c r="AB33" s="6"/>
    </row>
    <row r="34" spans="1:28" s="1" customFormat="1" x14ac:dyDescent="0.25">
      <c r="A34" s="23">
        <v>29</v>
      </c>
      <c r="B34" s="3"/>
      <c r="C34" s="3"/>
      <c r="D34" s="3"/>
      <c r="E34" s="3"/>
      <c r="F34" s="22"/>
      <c r="G34" s="3"/>
      <c r="H34" s="3"/>
      <c r="I34" s="3"/>
      <c r="J34" s="3"/>
      <c r="K34" s="5"/>
      <c r="L34" s="3"/>
      <c r="M34" s="3"/>
      <c r="N34" s="3"/>
      <c r="O34" s="88">
        <f t="shared" si="0"/>
        <v>0</v>
      </c>
      <c r="P34" s="88">
        <f t="shared" si="1"/>
        <v>0</v>
      </c>
      <c r="Q34" s="88">
        <f t="shared" si="2"/>
        <v>0</v>
      </c>
      <c r="R34" s="88">
        <f t="shared" si="3"/>
        <v>0</v>
      </c>
      <c r="S34" s="88">
        <f t="shared" si="4"/>
        <v>0</v>
      </c>
      <c r="T34" s="3"/>
      <c r="U34" s="3">
        <f t="shared" si="5"/>
        <v>0</v>
      </c>
      <c r="V34" s="6"/>
      <c r="W34" s="6"/>
      <c r="Y34" s="6"/>
      <c r="Z34" s="6"/>
      <c r="AA34" s="6"/>
      <c r="AB34" s="6"/>
    </row>
    <row r="35" spans="1:28" s="1" customFormat="1" x14ac:dyDescent="0.25">
      <c r="A35" s="20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Y35" s="6"/>
      <c r="Z35" s="6"/>
      <c r="AA35" s="6"/>
      <c r="AB35" s="6"/>
    </row>
    <row r="36" spans="1:28" s="1" customFormat="1" x14ac:dyDescent="0.25">
      <c r="A36" s="139" t="s">
        <v>47</v>
      </c>
      <c r="B36" s="139"/>
      <c r="C36" s="21">
        <f>SUM(C4:C34)</f>
        <v>0</v>
      </c>
      <c r="D36" s="21">
        <f t="shared" ref="D36:I36" si="6">SUM(D4:D34)</f>
        <v>0</v>
      </c>
      <c r="E36" s="21">
        <f t="shared" si="6"/>
        <v>0</v>
      </c>
      <c r="F36" s="21">
        <f t="shared" si="6"/>
        <v>0</v>
      </c>
      <c r="G36" s="21">
        <f t="shared" si="6"/>
        <v>0</v>
      </c>
      <c r="H36" s="21">
        <f t="shared" si="6"/>
        <v>0</v>
      </c>
      <c r="I36" s="21">
        <f t="shared" si="6"/>
        <v>0</v>
      </c>
      <c r="J36" s="18"/>
      <c r="K36" s="1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Y36" s="6"/>
      <c r="Z36" s="6"/>
      <c r="AA36" s="6"/>
      <c r="AB36" s="6"/>
    </row>
    <row r="37" spans="1:28" s="1" customFormat="1" x14ac:dyDescent="0.25">
      <c r="A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Y37" s="6"/>
      <c r="Z37" s="6"/>
      <c r="AA37" s="6"/>
      <c r="AB37" s="6"/>
    </row>
    <row r="38" spans="1:28" s="1" customFormat="1" x14ac:dyDescent="0.25">
      <c r="A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Y38" s="6"/>
      <c r="Z38" s="6"/>
      <c r="AA38" s="6"/>
      <c r="AB38" s="6"/>
    </row>
    <row r="39" spans="1:28" s="1" customFormat="1" x14ac:dyDescent="0.25">
      <c r="A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Y39" s="6"/>
      <c r="Z39" s="6"/>
      <c r="AA39" s="6"/>
      <c r="AB39" s="6"/>
    </row>
    <row r="464" spans="25:25" x14ac:dyDescent="0.25">
      <c r="Y464" s="1"/>
    </row>
  </sheetData>
  <mergeCells count="2">
    <mergeCell ref="A1:U2"/>
    <mergeCell ref="A36:B36"/>
  </mergeCells>
  <pageMargins left="0.7" right="0.7" top="0.75" bottom="0.75" header="0.3" footer="0.3"/>
  <pageSetup paperSize="256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9A470-3EC4-4B44-B50D-5C0AE621A1AC}">
  <dimension ref="A1:AB464"/>
  <sheetViews>
    <sheetView tabSelected="1" topLeftCell="J1" workbookViewId="0">
      <selection activeCell="X5" sqref="X5"/>
    </sheetView>
  </sheetViews>
  <sheetFormatPr defaultRowHeight="15" x14ac:dyDescent="0.25"/>
  <cols>
    <col min="1" max="1" width="4.28515625" style="6" bestFit="1" customWidth="1"/>
    <col min="2" max="2" width="15.28515625" style="1" bestFit="1" customWidth="1"/>
    <col min="3" max="3" width="15.85546875" style="6" bestFit="1" customWidth="1"/>
    <col min="4" max="4" width="16.85546875" style="6" bestFit="1" customWidth="1"/>
    <col min="5" max="9" width="16.85546875" style="6" customWidth="1"/>
    <col min="10" max="10" width="14.28515625" style="6" bestFit="1" customWidth="1"/>
    <col min="11" max="12" width="10.7109375" style="6" bestFit="1" customWidth="1"/>
    <col min="13" max="13" width="12.5703125" style="6" bestFit="1" customWidth="1"/>
    <col min="14" max="14" width="12.5703125" style="6" customWidth="1"/>
    <col min="15" max="15" width="9.42578125" style="6" bestFit="1" customWidth="1"/>
    <col min="16" max="16" width="11.28515625" style="6" bestFit="1" customWidth="1"/>
    <col min="17" max="17" width="15.140625" style="6" bestFit="1" customWidth="1"/>
    <col min="18" max="19" width="8.28515625" style="6" bestFit="1" customWidth="1"/>
    <col min="20" max="20" width="14.5703125" style="6" bestFit="1" customWidth="1"/>
    <col min="21" max="21" width="19" style="6" bestFit="1" customWidth="1"/>
    <col min="22" max="22" width="15.85546875" style="6" customWidth="1"/>
    <col min="23" max="23" width="28.85546875" style="6" bestFit="1" customWidth="1"/>
    <col min="24" max="24" width="11.7109375" style="1" bestFit="1" customWidth="1"/>
    <col min="25" max="25" width="10.7109375" style="6" bestFit="1" customWidth="1"/>
    <col min="26" max="26" width="15.28515625" style="6" bestFit="1" customWidth="1"/>
    <col min="27" max="27" width="21.7109375" style="6" bestFit="1" customWidth="1"/>
    <col min="28" max="28" width="15.85546875" style="6" customWidth="1"/>
    <col min="29" max="16384" width="9.140625" style="6"/>
  </cols>
  <sheetData>
    <row r="1" spans="1:28" ht="15.75" thickBot="1" x14ac:dyDescent="0.3">
      <c r="A1" s="138" t="s">
        <v>69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</row>
    <row r="2" spans="1:28" x14ac:dyDescent="0.25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W2" s="62"/>
      <c r="X2" s="63" t="s">
        <v>49</v>
      </c>
      <c r="Y2" s="64" t="s">
        <v>50</v>
      </c>
    </row>
    <row r="3" spans="1:28" x14ac:dyDescent="0.25">
      <c r="A3" s="9" t="s">
        <v>21</v>
      </c>
      <c r="B3" s="7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9" t="s">
        <v>31</v>
      </c>
      <c r="L3" s="8" t="s">
        <v>32</v>
      </c>
      <c r="M3" s="8" t="s">
        <v>33</v>
      </c>
      <c r="N3" s="8" t="s">
        <v>94</v>
      </c>
      <c r="O3" s="8" t="s">
        <v>34</v>
      </c>
      <c r="P3" s="8" t="s">
        <v>58</v>
      </c>
      <c r="Q3" s="8" t="s">
        <v>35</v>
      </c>
      <c r="R3" s="8" t="s">
        <v>36</v>
      </c>
      <c r="S3" s="8" t="s">
        <v>37</v>
      </c>
      <c r="T3" s="8" t="s">
        <v>38</v>
      </c>
      <c r="U3" s="9" t="s">
        <v>39</v>
      </c>
      <c r="W3" s="49" t="s">
        <v>17</v>
      </c>
      <c r="X3" s="51">
        <f>SUM(C35:I35)</f>
        <v>0</v>
      </c>
      <c r="Y3" s="51"/>
      <c r="AA3" s="60" t="s">
        <v>75</v>
      </c>
      <c r="AB3" s="60" t="s">
        <v>74</v>
      </c>
    </row>
    <row r="4" spans="1:28" x14ac:dyDescent="0.25">
      <c r="A4" s="23">
        <v>30</v>
      </c>
      <c r="B4" s="19"/>
      <c r="C4" s="4"/>
      <c r="D4" s="4"/>
      <c r="E4" s="4"/>
      <c r="F4" s="4"/>
      <c r="G4" s="4"/>
      <c r="H4" s="4"/>
      <c r="I4" s="4"/>
      <c r="J4" s="4"/>
      <c r="K4" s="10"/>
      <c r="L4" s="3"/>
      <c r="M4" s="3"/>
      <c r="N4" s="3"/>
      <c r="O4" s="88">
        <f>$X$18/30</f>
        <v>0</v>
      </c>
      <c r="P4" s="88">
        <f>$X$17/30</f>
        <v>0</v>
      </c>
      <c r="Q4" s="88">
        <f>$X$16/30</f>
        <v>0</v>
      </c>
      <c r="R4" s="88">
        <f>$X$19/30</f>
        <v>0</v>
      </c>
      <c r="S4" s="88">
        <f>$X$15/30</f>
        <v>0</v>
      </c>
      <c r="T4" s="3"/>
      <c r="U4" s="3">
        <f>C4+B4+K4+L4+M4+O4+P4+Q4+R4+S4+T4+D4+E4+F4+G4+I4+H4</f>
        <v>0</v>
      </c>
      <c r="W4" s="49" t="s">
        <v>40</v>
      </c>
      <c r="X4" s="53">
        <v>0.04</v>
      </c>
      <c r="Y4" s="53"/>
      <c r="AA4" s="58" t="str">
        <f>IFERROR(-(X3/(X6+X7)),"")</f>
        <v/>
      </c>
      <c r="AB4" s="59" t="str">
        <f>IF($AA$4 &gt; 12, "⭐ Excelente", IF($AA$4 &gt;= 6, "✅ Saudável", IF($AA$4 &lt; 5, "🛑 Perigo", "⚠️ Atenção")))</f>
        <v>⭐ Excelente</v>
      </c>
    </row>
    <row r="5" spans="1:28" x14ac:dyDescent="0.25">
      <c r="A5" s="23">
        <v>31</v>
      </c>
      <c r="B5" s="19"/>
      <c r="C5" s="3"/>
      <c r="D5" s="3"/>
      <c r="E5" s="3"/>
      <c r="F5" s="3"/>
      <c r="G5" s="3"/>
      <c r="H5" s="3"/>
      <c r="I5" s="3"/>
      <c r="J5" s="3"/>
      <c r="K5" s="5"/>
      <c r="L5" s="3"/>
      <c r="M5" s="3"/>
      <c r="N5" s="3"/>
      <c r="O5" s="88">
        <f t="shared" ref="O5:O34" si="0">$X$18/30</f>
        <v>0</v>
      </c>
      <c r="P5" s="88">
        <f t="shared" ref="P5:P34" si="1">$X$17/30</f>
        <v>0</v>
      </c>
      <c r="Q5" s="88">
        <f t="shared" ref="Q5:Q34" si="2">$X$16/30</f>
        <v>0</v>
      </c>
      <c r="R5" s="88">
        <f t="shared" ref="R5:R34" si="3">$X$19/30</f>
        <v>0</v>
      </c>
      <c r="S5" s="88">
        <f t="shared" ref="S5:S34" si="4">$X$15/30</f>
        <v>0</v>
      </c>
      <c r="T5" s="3"/>
      <c r="U5" s="3">
        <f t="shared" ref="U5:U34" si="5">C5+B5+K5+L5+M5+O5+P5+Q5+R5+S5+T5+D5+E5+F5+G5+I5+H5</f>
        <v>0</v>
      </c>
      <c r="W5" s="49" t="s">
        <v>51</v>
      </c>
      <c r="X5" s="51">
        <f>SUM(B4:B33)</f>
        <v>0</v>
      </c>
      <c r="Y5" s="52"/>
      <c r="Z5" s="1"/>
      <c r="AB5" s="1"/>
    </row>
    <row r="6" spans="1:28" x14ac:dyDescent="0.25">
      <c r="A6" s="23">
        <v>1</v>
      </c>
      <c r="B6" s="19"/>
      <c r="C6" s="3"/>
      <c r="D6" s="3"/>
      <c r="E6" s="3"/>
      <c r="F6" s="3"/>
      <c r="G6" s="3"/>
      <c r="H6" s="3"/>
      <c r="I6" s="3"/>
      <c r="J6" s="3"/>
      <c r="K6" s="5"/>
      <c r="L6" s="3"/>
      <c r="M6" s="3"/>
      <c r="N6" s="3"/>
      <c r="O6" s="88">
        <f t="shared" si="0"/>
        <v>0</v>
      </c>
      <c r="P6" s="88">
        <f t="shared" si="1"/>
        <v>0</v>
      </c>
      <c r="Q6" s="88">
        <f t="shared" si="2"/>
        <v>0</v>
      </c>
      <c r="R6" s="88">
        <f t="shared" si="3"/>
        <v>0</v>
      </c>
      <c r="S6" s="88">
        <f t="shared" si="4"/>
        <v>0</v>
      </c>
      <c r="T6" s="3"/>
      <c r="U6" s="3">
        <f t="shared" si="5"/>
        <v>0</v>
      </c>
      <c r="W6" s="49" t="s">
        <v>52</v>
      </c>
      <c r="X6" s="51">
        <f>SUM(K4:K33)</f>
        <v>0</v>
      </c>
      <c r="Y6" s="52"/>
      <c r="AA6" s="95" t="s">
        <v>86</v>
      </c>
      <c r="AB6" s="94" t="str">
        <f>IFERROR(ABS(SUM(X14:X19)) / ((X3 - ABS(SUM(X5:X12))) / X3), "")</f>
        <v/>
      </c>
    </row>
    <row r="7" spans="1:28" x14ac:dyDescent="0.25">
      <c r="A7" s="23">
        <v>2</v>
      </c>
      <c r="B7" s="3"/>
      <c r="C7" s="3"/>
      <c r="D7" s="3"/>
      <c r="E7" s="3"/>
      <c r="F7" s="3"/>
      <c r="G7" s="3"/>
      <c r="H7" s="3"/>
      <c r="I7" s="3"/>
      <c r="J7" s="3"/>
      <c r="K7" s="5"/>
      <c r="L7" s="3"/>
      <c r="M7" s="3"/>
      <c r="N7" s="3"/>
      <c r="O7" s="88">
        <f t="shared" si="0"/>
        <v>0</v>
      </c>
      <c r="P7" s="88">
        <f t="shared" si="1"/>
        <v>0</v>
      </c>
      <c r="Q7" s="88">
        <f t="shared" si="2"/>
        <v>0</v>
      </c>
      <c r="R7" s="88">
        <f t="shared" si="3"/>
        <v>0</v>
      </c>
      <c r="S7" s="88">
        <f t="shared" si="4"/>
        <v>0</v>
      </c>
      <c r="T7" s="3"/>
      <c r="U7" s="3">
        <f t="shared" si="5"/>
        <v>0</v>
      </c>
      <c r="W7" s="49" t="s">
        <v>53</v>
      </c>
      <c r="X7" s="55"/>
      <c r="Y7" s="55"/>
    </row>
    <row r="8" spans="1:28" x14ac:dyDescent="0.25">
      <c r="A8" s="23">
        <v>3</v>
      </c>
      <c r="B8" s="3"/>
      <c r="C8" s="3"/>
      <c r="D8" s="3"/>
      <c r="E8" s="3"/>
      <c r="F8" s="3"/>
      <c r="G8" s="3"/>
      <c r="H8" s="3"/>
      <c r="I8" s="3"/>
      <c r="J8" s="3"/>
      <c r="K8" s="5"/>
      <c r="L8" s="3"/>
      <c r="M8" s="3"/>
      <c r="N8" s="3"/>
      <c r="O8" s="88">
        <f t="shared" si="0"/>
        <v>0</v>
      </c>
      <c r="P8" s="88">
        <f t="shared" si="1"/>
        <v>0</v>
      </c>
      <c r="Q8" s="88">
        <f t="shared" si="2"/>
        <v>0</v>
      </c>
      <c r="R8" s="88">
        <f t="shared" si="3"/>
        <v>0</v>
      </c>
      <c r="S8" s="88">
        <f t="shared" si="4"/>
        <v>0</v>
      </c>
      <c r="T8" s="3"/>
      <c r="U8" s="3">
        <f t="shared" si="5"/>
        <v>0</v>
      </c>
      <c r="W8" s="49" t="s">
        <v>41</v>
      </c>
      <c r="X8" s="51">
        <f>(SUM(J4:J33))/31</f>
        <v>0</v>
      </c>
      <c r="Y8" s="51"/>
    </row>
    <row r="9" spans="1:28" x14ac:dyDescent="0.25">
      <c r="A9" s="23">
        <v>4</v>
      </c>
      <c r="B9" s="3"/>
      <c r="C9" s="3"/>
      <c r="D9" s="3"/>
      <c r="E9" s="3"/>
      <c r="F9" s="3"/>
      <c r="G9" s="3"/>
      <c r="H9" s="3"/>
      <c r="I9" s="3"/>
      <c r="J9" s="3"/>
      <c r="K9" s="5"/>
      <c r="L9" s="3"/>
      <c r="M9" s="3"/>
      <c r="N9" s="3"/>
      <c r="O9" s="88">
        <f t="shared" si="0"/>
        <v>0</v>
      </c>
      <c r="P9" s="88">
        <f t="shared" si="1"/>
        <v>0</v>
      </c>
      <c r="Q9" s="88">
        <f t="shared" si="2"/>
        <v>0</v>
      </c>
      <c r="R9" s="88">
        <f t="shared" si="3"/>
        <v>0</v>
      </c>
      <c r="S9" s="88">
        <f t="shared" si="4"/>
        <v>0</v>
      </c>
      <c r="T9" s="3"/>
      <c r="U9" s="3">
        <f t="shared" si="5"/>
        <v>0</v>
      </c>
      <c r="W9" s="49" t="s">
        <v>54</v>
      </c>
      <c r="X9" s="51">
        <f>SUM(L4:L33)</f>
        <v>0</v>
      </c>
      <c r="Y9" s="52"/>
    </row>
    <row r="10" spans="1:28" x14ac:dyDescent="0.25">
      <c r="A10" s="23">
        <v>5</v>
      </c>
      <c r="B10" s="3"/>
      <c r="C10" s="3"/>
      <c r="D10" s="3"/>
      <c r="E10" s="3"/>
      <c r="F10" s="3"/>
      <c r="G10" s="3"/>
      <c r="H10" s="3"/>
      <c r="I10" s="3"/>
      <c r="J10" s="3"/>
      <c r="K10" s="5"/>
      <c r="L10" s="3"/>
      <c r="M10" s="3"/>
      <c r="N10" s="3"/>
      <c r="O10" s="88">
        <f t="shared" si="0"/>
        <v>0</v>
      </c>
      <c r="P10" s="88">
        <f t="shared" si="1"/>
        <v>0</v>
      </c>
      <c r="Q10" s="88">
        <f t="shared" si="2"/>
        <v>0</v>
      </c>
      <c r="R10" s="88">
        <f t="shared" si="3"/>
        <v>0</v>
      </c>
      <c r="S10" s="88">
        <f t="shared" si="4"/>
        <v>0</v>
      </c>
      <c r="T10" s="3"/>
      <c r="U10" s="3">
        <f t="shared" si="5"/>
        <v>0</v>
      </c>
      <c r="W10" s="49" t="s">
        <v>55</v>
      </c>
      <c r="X10" s="51">
        <f>SUM(M4:M33)</f>
        <v>0</v>
      </c>
      <c r="Y10" s="52"/>
    </row>
    <row r="11" spans="1:28" x14ac:dyDescent="0.25">
      <c r="A11" s="23">
        <v>6</v>
      </c>
      <c r="B11" s="19"/>
      <c r="C11" s="3"/>
      <c r="D11" s="3"/>
      <c r="E11" s="3"/>
      <c r="F11" s="3"/>
      <c r="G11" s="3"/>
      <c r="H11" s="3"/>
      <c r="I11" s="3"/>
      <c r="J11" s="3"/>
      <c r="K11" s="5"/>
      <c r="L11" s="3"/>
      <c r="M11" s="3"/>
      <c r="N11" s="3"/>
      <c r="O11" s="88">
        <f t="shared" si="0"/>
        <v>0</v>
      </c>
      <c r="P11" s="88">
        <f t="shared" si="1"/>
        <v>0</v>
      </c>
      <c r="Q11" s="88">
        <f t="shared" si="2"/>
        <v>0</v>
      </c>
      <c r="R11" s="88">
        <f t="shared" si="3"/>
        <v>0</v>
      </c>
      <c r="S11" s="88">
        <f t="shared" si="4"/>
        <v>0</v>
      </c>
      <c r="T11" s="3"/>
      <c r="U11" s="3">
        <f t="shared" si="5"/>
        <v>0</v>
      </c>
      <c r="W11" s="49" t="s">
        <v>94</v>
      </c>
      <c r="X11" s="51">
        <f>SUM(N4:N34)</f>
        <v>0</v>
      </c>
      <c r="Y11" s="52"/>
    </row>
    <row r="12" spans="1:28" x14ac:dyDescent="0.25">
      <c r="A12" s="23">
        <v>7</v>
      </c>
      <c r="B12" s="3"/>
      <c r="C12" s="3"/>
      <c r="D12" s="3"/>
      <c r="E12" s="3"/>
      <c r="F12" s="3"/>
      <c r="G12" s="3"/>
      <c r="H12" s="3"/>
      <c r="I12" s="3"/>
      <c r="J12" s="3"/>
      <c r="K12" s="5"/>
      <c r="L12" s="3"/>
      <c r="M12" s="3"/>
      <c r="N12" s="3"/>
      <c r="O12" s="88">
        <f t="shared" si="0"/>
        <v>0</v>
      </c>
      <c r="P12" s="88">
        <f t="shared" si="1"/>
        <v>0</v>
      </c>
      <c r="Q12" s="88">
        <f t="shared" si="2"/>
        <v>0</v>
      </c>
      <c r="R12" s="88">
        <f t="shared" si="3"/>
        <v>0</v>
      </c>
      <c r="S12" s="88">
        <f t="shared" si="4"/>
        <v>0</v>
      </c>
      <c r="T12" s="3"/>
      <c r="U12" s="3">
        <f t="shared" si="5"/>
        <v>0</v>
      </c>
      <c r="W12" s="49" t="s">
        <v>56</v>
      </c>
      <c r="X12" s="51">
        <f>-X3*X4</f>
        <v>0</v>
      </c>
      <c r="Y12" s="52"/>
    </row>
    <row r="13" spans="1:28" x14ac:dyDescent="0.25">
      <c r="A13" s="23">
        <v>8</v>
      </c>
      <c r="B13" s="3"/>
      <c r="C13" s="3"/>
      <c r="D13" s="3"/>
      <c r="E13" s="3"/>
      <c r="F13" s="3"/>
      <c r="G13" s="3"/>
      <c r="H13" s="3"/>
      <c r="I13" s="3"/>
      <c r="J13" s="3"/>
      <c r="K13" s="5"/>
      <c r="L13" s="3"/>
      <c r="M13" s="3"/>
      <c r="N13" s="3"/>
      <c r="O13" s="88">
        <f t="shared" si="0"/>
        <v>0</v>
      </c>
      <c r="P13" s="88">
        <f t="shared" si="1"/>
        <v>0</v>
      </c>
      <c r="Q13" s="88">
        <f t="shared" si="2"/>
        <v>0</v>
      </c>
      <c r="R13" s="88">
        <f t="shared" si="3"/>
        <v>0</v>
      </c>
      <c r="S13" s="88">
        <f t="shared" si="4"/>
        <v>0</v>
      </c>
      <c r="T13" s="3"/>
      <c r="U13" s="3">
        <f t="shared" si="5"/>
        <v>0</v>
      </c>
      <c r="W13" s="49" t="s">
        <v>57</v>
      </c>
      <c r="X13" s="55"/>
      <c r="Y13" s="52"/>
    </row>
    <row r="14" spans="1:28" x14ac:dyDescent="0.25">
      <c r="A14" s="23">
        <v>9</v>
      </c>
      <c r="B14" s="3"/>
      <c r="C14" s="3"/>
      <c r="D14" s="3"/>
      <c r="E14" s="3"/>
      <c r="F14" s="3"/>
      <c r="G14" s="3"/>
      <c r="H14" s="3"/>
      <c r="I14" s="3"/>
      <c r="J14" s="3"/>
      <c r="K14" s="5"/>
      <c r="L14" s="3"/>
      <c r="M14" s="3"/>
      <c r="N14" s="3"/>
      <c r="O14" s="88">
        <f t="shared" si="0"/>
        <v>0</v>
      </c>
      <c r="P14" s="88">
        <f t="shared" si="1"/>
        <v>0</v>
      </c>
      <c r="Q14" s="88">
        <f t="shared" si="2"/>
        <v>0</v>
      </c>
      <c r="R14" s="88">
        <f t="shared" si="3"/>
        <v>0</v>
      </c>
      <c r="S14" s="88">
        <f t="shared" si="4"/>
        <v>0</v>
      </c>
      <c r="T14" s="3"/>
      <c r="U14" s="3">
        <f t="shared" si="5"/>
        <v>0</v>
      </c>
      <c r="W14" s="49" t="s">
        <v>38</v>
      </c>
      <c r="X14" s="51">
        <f>SUM(T4:T33)</f>
        <v>0</v>
      </c>
      <c r="Y14" s="52"/>
    </row>
    <row r="15" spans="1:28" x14ac:dyDescent="0.25">
      <c r="A15" s="23">
        <v>10</v>
      </c>
      <c r="B15" s="3"/>
      <c r="C15" s="3"/>
      <c r="D15" s="3"/>
      <c r="E15" s="3"/>
      <c r="F15" s="22"/>
      <c r="G15" s="3"/>
      <c r="H15" s="3"/>
      <c r="I15" s="3"/>
      <c r="J15" s="3"/>
      <c r="K15" s="5"/>
      <c r="L15" s="3"/>
      <c r="M15" s="3"/>
      <c r="N15" s="3"/>
      <c r="O15" s="88">
        <f t="shared" si="0"/>
        <v>0</v>
      </c>
      <c r="P15" s="88">
        <f t="shared" si="1"/>
        <v>0</v>
      </c>
      <c r="Q15" s="88">
        <f t="shared" si="2"/>
        <v>0</v>
      </c>
      <c r="R15" s="88">
        <f t="shared" si="3"/>
        <v>0</v>
      </c>
      <c r="S15" s="88">
        <f t="shared" si="4"/>
        <v>0</v>
      </c>
      <c r="T15" s="3"/>
      <c r="U15" s="3">
        <f t="shared" si="5"/>
        <v>0</v>
      </c>
      <c r="W15" s="49" t="s">
        <v>37</v>
      </c>
      <c r="X15" s="55"/>
      <c r="Y15" s="52"/>
    </row>
    <row r="16" spans="1:28" x14ac:dyDescent="0.25">
      <c r="A16" s="23">
        <v>11</v>
      </c>
      <c r="B16" s="3"/>
      <c r="C16" s="3"/>
      <c r="D16" s="3"/>
      <c r="E16" s="3"/>
      <c r="F16" s="3"/>
      <c r="G16" s="3"/>
      <c r="H16" s="3"/>
      <c r="I16" s="3"/>
      <c r="J16" s="3"/>
      <c r="K16" s="5"/>
      <c r="L16" s="3"/>
      <c r="M16" s="3"/>
      <c r="N16" s="3"/>
      <c r="O16" s="88">
        <f t="shared" si="0"/>
        <v>0</v>
      </c>
      <c r="P16" s="88">
        <f t="shared" si="1"/>
        <v>0</v>
      </c>
      <c r="Q16" s="88">
        <f t="shared" si="2"/>
        <v>0</v>
      </c>
      <c r="R16" s="88">
        <f t="shared" si="3"/>
        <v>0</v>
      </c>
      <c r="S16" s="88">
        <f t="shared" si="4"/>
        <v>0</v>
      </c>
      <c r="T16" s="3"/>
      <c r="U16" s="3">
        <f t="shared" si="5"/>
        <v>0</v>
      </c>
      <c r="W16" s="49" t="s">
        <v>35</v>
      </c>
      <c r="X16" s="55"/>
      <c r="Y16" s="52"/>
    </row>
    <row r="17" spans="1:27" x14ac:dyDescent="0.25">
      <c r="A17" s="23">
        <v>12</v>
      </c>
      <c r="B17" s="3"/>
      <c r="C17" s="3"/>
      <c r="D17" s="3"/>
      <c r="E17" s="3"/>
      <c r="F17" s="3"/>
      <c r="G17" s="3"/>
      <c r="H17" s="3"/>
      <c r="I17" s="3"/>
      <c r="J17" s="3"/>
      <c r="K17" s="5"/>
      <c r="L17" s="3"/>
      <c r="M17" s="3"/>
      <c r="N17" s="3"/>
      <c r="O17" s="88">
        <f t="shared" si="0"/>
        <v>0</v>
      </c>
      <c r="P17" s="88">
        <f t="shared" si="1"/>
        <v>0</v>
      </c>
      <c r="Q17" s="88">
        <f t="shared" si="2"/>
        <v>0</v>
      </c>
      <c r="R17" s="88">
        <f t="shared" si="3"/>
        <v>0</v>
      </c>
      <c r="S17" s="88">
        <f t="shared" si="4"/>
        <v>0</v>
      </c>
      <c r="T17" s="3"/>
      <c r="U17" s="3">
        <f t="shared" si="5"/>
        <v>0</v>
      </c>
      <c r="W17" s="49" t="s">
        <v>58</v>
      </c>
      <c r="X17" s="55">
        <v>0</v>
      </c>
      <c r="Y17" s="52"/>
    </row>
    <row r="18" spans="1:27" x14ac:dyDescent="0.25">
      <c r="A18" s="23">
        <v>13</v>
      </c>
      <c r="B18" s="3"/>
      <c r="C18" s="3"/>
      <c r="D18" s="3"/>
      <c r="E18" s="3"/>
      <c r="F18" s="3"/>
      <c r="G18" s="3"/>
      <c r="H18" s="3"/>
      <c r="I18" s="3"/>
      <c r="J18" s="3"/>
      <c r="K18" s="5"/>
      <c r="L18" s="3"/>
      <c r="M18" s="3"/>
      <c r="N18" s="3"/>
      <c r="O18" s="88">
        <f t="shared" si="0"/>
        <v>0</v>
      </c>
      <c r="P18" s="88">
        <f t="shared" si="1"/>
        <v>0</v>
      </c>
      <c r="Q18" s="88">
        <f t="shared" si="2"/>
        <v>0</v>
      </c>
      <c r="R18" s="88">
        <f t="shared" si="3"/>
        <v>0</v>
      </c>
      <c r="S18" s="88">
        <f t="shared" si="4"/>
        <v>0</v>
      </c>
      <c r="T18" s="3"/>
      <c r="U18" s="3">
        <f t="shared" si="5"/>
        <v>0</v>
      </c>
      <c r="W18" s="49" t="s">
        <v>90</v>
      </c>
      <c r="X18" s="55"/>
      <c r="Y18" s="52"/>
    </row>
    <row r="19" spans="1:27" x14ac:dyDescent="0.25">
      <c r="A19" s="23">
        <v>14</v>
      </c>
      <c r="B19" s="3"/>
      <c r="C19" s="3"/>
      <c r="D19" s="3"/>
      <c r="E19" s="3"/>
      <c r="F19" s="3"/>
      <c r="G19" s="3"/>
      <c r="H19" s="3"/>
      <c r="I19" s="3"/>
      <c r="J19" s="3"/>
      <c r="K19" s="5"/>
      <c r="L19" s="3"/>
      <c r="M19" s="3"/>
      <c r="N19" s="3"/>
      <c r="O19" s="88">
        <f t="shared" si="0"/>
        <v>0</v>
      </c>
      <c r="P19" s="88">
        <f t="shared" si="1"/>
        <v>0</v>
      </c>
      <c r="Q19" s="88">
        <f t="shared" si="2"/>
        <v>0</v>
      </c>
      <c r="R19" s="88">
        <f t="shared" si="3"/>
        <v>0</v>
      </c>
      <c r="S19" s="88">
        <f t="shared" si="4"/>
        <v>0</v>
      </c>
      <c r="T19" s="3"/>
      <c r="U19" s="3">
        <f t="shared" si="5"/>
        <v>0</v>
      </c>
      <c r="W19" s="49" t="s">
        <v>91</v>
      </c>
      <c r="X19" s="51">
        <f>(X18*20%)+(-X21*11%)</f>
        <v>0</v>
      </c>
      <c r="Y19" s="52"/>
    </row>
    <row r="20" spans="1:27" x14ac:dyDescent="0.25">
      <c r="A20" s="23">
        <v>15</v>
      </c>
      <c r="B20" s="3"/>
      <c r="C20" s="3"/>
      <c r="D20" s="3"/>
      <c r="E20" s="3"/>
      <c r="F20" s="3"/>
      <c r="G20" s="3"/>
      <c r="H20" s="3"/>
      <c r="I20" s="3"/>
      <c r="J20" s="3"/>
      <c r="K20" s="5"/>
      <c r="L20" s="3"/>
      <c r="M20" s="3"/>
      <c r="N20" s="3"/>
      <c r="O20" s="88">
        <f t="shared" si="0"/>
        <v>0</v>
      </c>
      <c r="P20" s="88">
        <f t="shared" si="1"/>
        <v>0</v>
      </c>
      <c r="Q20" s="88">
        <f t="shared" si="2"/>
        <v>0</v>
      </c>
      <c r="R20" s="88">
        <f t="shared" si="3"/>
        <v>0</v>
      </c>
      <c r="S20" s="88">
        <f t="shared" si="4"/>
        <v>0</v>
      </c>
      <c r="T20" s="3"/>
      <c r="U20" s="3">
        <f t="shared" si="5"/>
        <v>0</v>
      </c>
      <c r="W20" s="49" t="s">
        <v>42</v>
      </c>
      <c r="X20" s="55"/>
      <c r="Y20" s="52"/>
    </row>
    <row r="21" spans="1:27" ht="15.75" thickBot="1" x14ac:dyDescent="0.3">
      <c r="A21" s="23">
        <v>16</v>
      </c>
      <c r="B21" s="3"/>
      <c r="C21" s="3"/>
      <c r="D21" s="3"/>
      <c r="E21" s="3"/>
      <c r="F21" s="3"/>
      <c r="G21" s="3"/>
      <c r="H21" s="3"/>
      <c r="I21" s="3"/>
      <c r="J21" s="3"/>
      <c r="K21" s="5"/>
      <c r="L21" s="3"/>
      <c r="M21" s="3"/>
      <c r="N21" s="3"/>
      <c r="O21" s="88">
        <f t="shared" si="0"/>
        <v>0</v>
      </c>
      <c r="P21" s="88">
        <f t="shared" si="1"/>
        <v>0</v>
      </c>
      <c r="Q21" s="88">
        <f t="shared" si="2"/>
        <v>0</v>
      </c>
      <c r="R21" s="88">
        <f t="shared" si="3"/>
        <v>0</v>
      </c>
      <c r="S21" s="88">
        <f t="shared" si="4"/>
        <v>0</v>
      </c>
      <c r="T21" s="3"/>
      <c r="U21" s="3">
        <f t="shared" si="5"/>
        <v>0</v>
      </c>
      <c r="W21" s="50" t="s">
        <v>43</v>
      </c>
      <c r="X21" s="56">
        <f>X3+X5+X6+X9+X10+X12+X13+X15+X16+X17+X18+X20+X7</f>
        <v>0</v>
      </c>
      <c r="Y21" s="35">
        <f>Y3+Y5+Y6+Y7+Y9+Y10+Y12+Y13+Y15+Y16+Y17+Y18+Y20</f>
        <v>0</v>
      </c>
      <c r="Z21" s="1"/>
      <c r="AA21" s="1"/>
    </row>
    <row r="22" spans="1:27" ht="15.75" thickBot="1" x14ac:dyDescent="0.3">
      <c r="A22" s="23">
        <v>17</v>
      </c>
      <c r="B22" s="3"/>
      <c r="C22" s="3"/>
      <c r="D22" s="3"/>
      <c r="E22" s="3"/>
      <c r="F22" s="3"/>
      <c r="G22" s="3"/>
      <c r="H22" s="3"/>
      <c r="I22" s="3"/>
      <c r="J22" s="3"/>
      <c r="K22" s="5"/>
      <c r="L22" s="3"/>
      <c r="M22" s="3"/>
      <c r="N22" s="3"/>
      <c r="O22" s="88">
        <f t="shared" si="0"/>
        <v>0</v>
      </c>
      <c r="P22" s="88">
        <f t="shared" si="1"/>
        <v>0</v>
      </c>
      <c r="Q22" s="88">
        <f t="shared" si="2"/>
        <v>0</v>
      </c>
      <c r="R22" s="88">
        <f t="shared" si="3"/>
        <v>0</v>
      </c>
      <c r="S22" s="88">
        <f t="shared" si="4"/>
        <v>0</v>
      </c>
      <c r="T22" s="3"/>
      <c r="U22" s="3">
        <f t="shared" si="5"/>
        <v>0</v>
      </c>
      <c r="W22" s="50" t="s">
        <v>92</v>
      </c>
      <c r="X22" s="56">
        <f>X3+X5+X6+X7+X9+X10+X12+X13+X14+X15+X16+X17+X18+X19+X20</f>
        <v>0</v>
      </c>
      <c r="Y22" s="35">
        <f>Y3+Y5+Y6+Y7+Y9+Y10+Y12+Y13+Y15+Y16+Y17+Y18+Y19+Y20</f>
        <v>0</v>
      </c>
    </row>
    <row r="23" spans="1:27" x14ac:dyDescent="0.25">
      <c r="A23" s="23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88">
        <f t="shared" si="0"/>
        <v>0</v>
      </c>
      <c r="P23" s="88">
        <f t="shared" si="1"/>
        <v>0</v>
      </c>
      <c r="Q23" s="88">
        <f t="shared" si="2"/>
        <v>0</v>
      </c>
      <c r="R23" s="88">
        <f t="shared" si="3"/>
        <v>0</v>
      </c>
      <c r="S23" s="88">
        <f t="shared" si="4"/>
        <v>0</v>
      </c>
      <c r="T23" s="3"/>
      <c r="U23" s="3">
        <f t="shared" si="5"/>
        <v>0</v>
      </c>
    </row>
    <row r="24" spans="1:27" x14ac:dyDescent="0.25">
      <c r="A24" s="23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88">
        <f t="shared" si="0"/>
        <v>0</v>
      </c>
      <c r="P24" s="88">
        <f t="shared" si="1"/>
        <v>0</v>
      </c>
      <c r="Q24" s="88">
        <f t="shared" si="2"/>
        <v>0</v>
      </c>
      <c r="R24" s="88">
        <f t="shared" si="3"/>
        <v>0</v>
      </c>
      <c r="S24" s="88">
        <f t="shared" si="4"/>
        <v>0</v>
      </c>
      <c r="T24" s="3"/>
      <c r="U24" s="3">
        <f t="shared" si="5"/>
        <v>0</v>
      </c>
      <c r="W24" s="13" t="s">
        <v>44</v>
      </c>
      <c r="X24" s="36">
        <f>X6+X5+X14+X13</f>
        <v>0</v>
      </c>
      <c r="Y24" s="14"/>
    </row>
    <row r="25" spans="1:27" x14ac:dyDescent="0.25">
      <c r="A25" s="23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88">
        <f t="shared" si="0"/>
        <v>0</v>
      </c>
      <c r="P25" s="88">
        <f t="shared" si="1"/>
        <v>0</v>
      </c>
      <c r="Q25" s="88">
        <f t="shared" si="2"/>
        <v>0</v>
      </c>
      <c r="R25" s="88">
        <f t="shared" si="3"/>
        <v>0</v>
      </c>
      <c r="S25" s="88">
        <f t="shared" si="4"/>
        <v>0</v>
      </c>
      <c r="T25" s="3"/>
      <c r="U25" s="3">
        <f t="shared" si="5"/>
        <v>0</v>
      </c>
    </row>
    <row r="26" spans="1:27" x14ac:dyDescent="0.25">
      <c r="A26" s="23">
        <v>21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88">
        <f t="shared" si="0"/>
        <v>0</v>
      </c>
      <c r="P26" s="88">
        <f t="shared" si="1"/>
        <v>0</v>
      </c>
      <c r="Q26" s="88">
        <f t="shared" si="2"/>
        <v>0</v>
      </c>
      <c r="R26" s="88">
        <f t="shared" si="3"/>
        <v>0</v>
      </c>
      <c r="S26" s="88">
        <f t="shared" si="4"/>
        <v>0</v>
      </c>
      <c r="T26" s="3"/>
      <c r="U26" s="3">
        <f t="shared" si="5"/>
        <v>0</v>
      </c>
      <c r="W26" s="1"/>
    </row>
    <row r="27" spans="1:27" x14ac:dyDescent="0.25">
      <c r="A27" s="23">
        <v>22</v>
      </c>
      <c r="B27" s="3"/>
      <c r="C27" s="3"/>
      <c r="D27" s="3"/>
      <c r="E27" s="3"/>
      <c r="F27" s="22"/>
      <c r="G27" s="3"/>
      <c r="H27" s="3"/>
      <c r="I27" s="3"/>
      <c r="J27" s="3"/>
      <c r="K27" s="5"/>
      <c r="L27" s="3"/>
      <c r="M27" s="3"/>
      <c r="N27" s="3"/>
      <c r="O27" s="88">
        <f t="shared" si="0"/>
        <v>0</v>
      </c>
      <c r="P27" s="88">
        <f t="shared" si="1"/>
        <v>0</v>
      </c>
      <c r="Q27" s="88">
        <f t="shared" si="2"/>
        <v>0</v>
      </c>
      <c r="R27" s="88">
        <f t="shared" si="3"/>
        <v>0</v>
      </c>
      <c r="S27" s="88">
        <f t="shared" si="4"/>
        <v>0</v>
      </c>
      <c r="T27" s="3"/>
      <c r="U27" s="3">
        <f t="shared" si="5"/>
        <v>0</v>
      </c>
      <c r="W27" s="11" t="s">
        <v>45</v>
      </c>
      <c r="X27" s="42">
        <f>(X22*X30)</f>
        <v>0</v>
      </c>
      <c r="Y27" s="12">
        <f>Y22*50%</f>
        <v>0</v>
      </c>
    </row>
    <row r="28" spans="1:27" x14ac:dyDescent="0.25">
      <c r="A28" s="23">
        <v>23</v>
      </c>
      <c r="B28" s="3"/>
      <c r="C28" s="3"/>
      <c r="D28" s="3"/>
      <c r="E28" s="3"/>
      <c r="F28" s="22"/>
      <c r="G28" s="3"/>
      <c r="H28" s="3"/>
      <c r="I28" s="3"/>
      <c r="J28" s="3"/>
      <c r="K28" s="5"/>
      <c r="L28" s="3"/>
      <c r="M28" s="3"/>
      <c r="N28" s="3"/>
      <c r="O28" s="88">
        <f t="shared" si="0"/>
        <v>0</v>
      </c>
      <c r="P28" s="88">
        <f t="shared" si="1"/>
        <v>0</v>
      </c>
      <c r="Q28" s="88">
        <f t="shared" si="2"/>
        <v>0</v>
      </c>
      <c r="R28" s="88">
        <f t="shared" si="3"/>
        <v>0</v>
      </c>
      <c r="S28" s="88">
        <f t="shared" si="4"/>
        <v>0</v>
      </c>
      <c r="T28" s="3"/>
      <c r="U28" s="3">
        <f t="shared" si="5"/>
        <v>0</v>
      </c>
      <c r="W28" s="11" t="s">
        <v>46</v>
      </c>
      <c r="X28" s="42">
        <f>X22*X31</f>
        <v>0</v>
      </c>
      <c r="Y28" s="12">
        <f>Y22*X31</f>
        <v>0</v>
      </c>
    </row>
    <row r="29" spans="1:27" ht="15.75" thickBot="1" x14ac:dyDescent="0.3">
      <c r="A29" s="23">
        <v>24</v>
      </c>
      <c r="B29" s="3"/>
      <c r="C29" s="3"/>
      <c r="D29" s="3"/>
      <c r="E29" s="3"/>
      <c r="F29" s="22"/>
      <c r="G29" s="3"/>
      <c r="H29" s="3"/>
      <c r="I29" s="3"/>
      <c r="J29" s="3"/>
      <c r="K29" s="5"/>
      <c r="L29" s="3"/>
      <c r="M29" s="3"/>
      <c r="N29" s="3"/>
      <c r="O29" s="88">
        <f t="shared" si="0"/>
        <v>0</v>
      </c>
      <c r="P29" s="88">
        <f t="shared" si="1"/>
        <v>0</v>
      </c>
      <c r="Q29" s="88">
        <f t="shared" si="2"/>
        <v>0</v>
      </c>
      <c r="R29" s="88">
        <f t="shared" si="3"/>
        <v>0</v>
      </c>
      <c r="S29" s="88">
        <f t="shared" si="4"/>
        <v>0</v>
      </c>
      <c r="T29" s="3"/>
      <c r="U29" s="3">
        <f t="shared" si="5"/>
        <v>0</v>
      </c>
      <c r="Y29" s="1"/>
    </row>
    <row r="30" spans="1:27" ht="15.75" thickBot="1" x14ac:dyDescent="0.3">
      <c r="A30" s="23">
        <v>25</v>
      </c>
      <c r="B30" s="3"/>
      <c r="C30" s="3"/>
      <c r="D30" s="3"/>
      <c r="E30" s="3"/>
      <c r="F30" s="22"/>
      <c r="G30" s="3"/>
      <c r="H30" s="3"/>
      <c r="I30" s="3"/>
      <c r="J30" s="3"/>
      <c r="K30" s="5"/>
      <c r="L30" s="5"/>
      <c r="M30" s="3"/>
      <c r="N30" s="3"/>
      <c r="O30" s="88">
        <f t="shared" si="0"/>
        <v>0</v>
      </c>
      <c r="P30" s="88">
        <f t="shared" si="1"/>
        <v>0</v>
      </c>
      <c r="Q30" s="88">
        <f t="shared" si="2"/>
        <v>0</v>
      </c>
      <c r="R30" s="88">
        <f t="shared" si="3"/>
        <v>0</v>
      </c>
      <c r="S30" s="88">
        <f t="shared" si="4"/>
        <v>0</v>
      </c>
      <c r="T30" s="3"/>
      <c r="U30" s="3">
        <f t="shared" si="5"/>
        <v>0</v>
      </c>
      <c r="W30" s="46" t="s">
        <v>73</v>
      </c>
      <c r="X30" s="47">
        <v>0.5</v>
      </c>
    </row>
    <row r="31" spans="1:27" ht="15.75" thickBot="1" x14ac:dyDescent="0.3">
      <c r="A31" s="23">
        <v>26</v>
      </c>
      <c r="B31" s="3"/>
      <c r="C31" s="3"/>
      <c r="D31" s="3"/>
      <c r="E31" s="3"/>
      <c r="F31" s="22"/>
      <c r="G31" s="3"/>
      <c r="H31" s="3"/>
      <c r="I31" s="3"/>
      <c r="J31" s="3"/>
      <c r="K31" s="5"/>
      <c r="L31" s="3"/>
      <c r="M31" s="3"/>
      <c r="N31" s="3"/>
      <c r="O31" s="88">
        <f t="shared" si="0"/>
        <v>0</v>
      </c>
      <c r="P31" s="88">
        <f t="shared" si="1"/>
        <v>0</v>
      </c>
      <c r="Q31" s="88">
        <f t="shared" si="2"/>
        <v>0</v>
      </c>
      <c r="R31" s="88">
        <f t="shared" si="3"/>
        <v>0</v>
      </c>
      <c r="S31" s="88">
        <f t="shared" si="4"/>
        <v>0</v>
      </c>
      <c r="T31" s="3"/>
      <c r="U31" s="3">
        <f t="shared" si="5"/>
        <v>0</v>
      </c>
      <c r="W31" s="46" t="s">
        <v>46</v>
      </c>
      <c r="X31" s="48">
        <v>0.5</v>
      </c>
      <c r="Z31" s="118"/>
      <c r="AA31" s="119"/>
    </row>
    <row r="32" spans="1:27" ht="15.75" thickBot="1" x14ac:dyDescent="0.3">
      <c r="A32" s="23">
        <v>27</v>
      </c>
      <c r="B32" s="3"/>
      <c r="C32" s="3"/>
      <c r="D32" s="3"/>
      <c r="E32" s="3"/>
      <c r="F32" s="22"/>
      <c r="G32" s="3"/>
      <c r="H32" s="3"/>
      <c r="I32" s="3"/>
      <c r="J32" s="3"/>
      <c r="K32" s="5"/>
      <c r="L32" s="3"/>
      <c r="M32" s="3"/>
      <c r="N32" s="3"/>
      <c r="O32" s="88">
        <f t="shared" si="0"/>
        <v>0</v>
      </c>
      <c r="P32" s="88">
        <f t="shared" si="1"/>
        <v>0</v>
      </c>
      <c r="Q32" s="88">
        <f t="shared" si="2"/>
        <v>0</v>
      </c>
      <c r="R32" s="88">
        <f t="shared" si="3"/>
        <v>0</v>
      </c>
      <c r="S32" s="88">
        <f t="shared" si="4"/>
        <v>0</v>
      </c>
      <c r="T32" s="3"/>
      <c r="U32" s="3">
        <f t="shared" si="5"/>
        <v>0</v>
      </c>
      <c r="W32" s="1"/>
      <c r="X32" s="40"/>
      <c r="Y32" s="117" t="s">
        <v>71</v>
      </c>
      <c r="Z32" s="44"/>
      <c r="AA32" s="45"/>
    </row>
    <row r="33" spans="1:28" s="1" customFormat="1" ht="15.75" thickBot="1" x14ac:dyDescent="0.3">
      <c r="A33" s="23">
        <v>28</v>
      </c>
      <c r="B33" s="3"/>
      <c r="C33" s="3"/>
      <c r="D33" s="3"/>
      <c r="E33" s="3"/>
      <c r="F33" s="22"/>
      <c r="G33" s="3"/>
      <c r="H33" s="3"/>
      <c r="I33" s="3"/>
      <c r="J33" s="3"/>
      <c r="K33" s="5"/>
      <c r="L33" s="3"/>
      <c r="M33" s="3"/>
      <c r="N33" s="3"/>
      <c r="O33" s="88">
        <f t="shared" si="0"/>
        <v>0</v>
      </c>
      <c r="P33" s="88">
        <f t="shared" si="1"/>
        <v>0</v>
      </c>
      <c r="Q33" s="88">
        <f t="shared" si="2"/>
        <v>0</v>
      </c>
      <c r="R33" s="88">
        <f t="shared" si="3"/>
        <v>0</v>
      </c>
      <c r="S33" s="88">
        <f t="shared" si="4"/>
        <v>0</v>
      </c>
      <c r="T33" s="3"/>
      <c r="U33" s="3">
        <f t="shared" si="5"/>
        <v>0</v>
      </c>
      <c r="V33" s="6"/>
      <c r="X33" s="41"/>
      <c r="Y33" s="43" t="s">
        <v>72</v>
      </c>
      <c r="Z33" s="6"/>
      <c r="AA33" s="6"/>
      <c r="AB33" s="6"/>
    </row>
    <row r="34" spans="1:28" s="1" customFormat="1" x14ac:dyDescent="0.25">
      <c r="A34" s="23">
        <v>29</v>
      </c>
      <c r="B34" s="3"/>
      <c r="C34" s="3"/>
      <c r="D34" s="3"/>
      <c r="E34" s="3"/>
      <c r="F34" s="22"/>
      <c r="G34" s="3"/>
      <c r="H34" s="3"/>
      <c r="I34" s="3"/>
      <c r="J34" s="3"/>
      <c r="K34" s="5"/>
      <c r="L34" s="3"/>
      <c r="M34" s="3"/>
      <c r="N34" s="3"/>
      <c r="O34" s="88">
        <f t="shared" si="0"/>
        <v>0</v>
      </c>
      <c r="P34" s="88">
        <f t="shared" si="1"/>
        <v>0</v>
      </c>
      <c r="Q34" s="88">
        <f t="shared" si="2"/>
        <v>0</v>
      </c>
      <c r="R34" s="88">
        <f t="shared" si="3"/>
        <v>0</v>
      </c>
      <c r="S34" s="88">
        <f t="shared" si="4"/>
        <v>0</v>
      </c>
      <c r="T34" s="3"/>
      <c r="U34" s="3">
        <f t="shared" si="5"/>
        <v>0</v>
      </c>
      <c r="V34" s="6"/>
      <c r="W34" s="6"/>
      <c r="Y34" s="6"/>
      <c r="Z34" s="6"/>
      <c r="AA34" s="6"/>
      <c r="AB34" s="6"/>
    </row>
    <row r="35" spans="1:28" s="1" customFormat="1" x14ac:dyDescent="0.25">
      <c r="A35" s="20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Y35" s="6"/>
      <c r="Z35" s="6"/>
      <c r="AA35" s="6"/>
      <c r="AB35" s="6"/>
    </row>
    <row r="36" spans="1:28" s="1" customFormat="1" x14ac:dyDescent="0.25">
      <c r="A36" s="139" t="s">
        <v>47</v>
      </c>
      <c r="B36" s="139"/>
      <c r="C36" s="21">
        <f>SUM(C4:C34)</f>
        <v>0</v>
      </c>
      <c r="D36" s="21">
        <f t="shared" ref="D36:I36" si="6">SUM(D4:D34)</f>
        <v>0</v>
      </c>
      <c r="E36" s="21">
        <f t="shared" si="6"/>
        <v>0</v>
      </c>
      <c r="F36" s="21">
        <f t="shared" si="6"/>
        <v>0</v>
      </c>
      <c r="G36" s="21">
        <f t="shared" si="6"/>
        <v>0</v>
      </c>
      <c r="H36" s="21">
        <f t="shared" si="6"/>
        <v>0</v>
      </c>
      <c r="I36" s="21">
        <f t="shared" si="6"/>
        <v>0</v>
      </c>
      <c r="J36" s="18"/>
      <c r="K36" s="1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Y36" s="6"/>
      <c r="Z36" s="6"/>
      <c r="AA36" s="6"/>
      <c r="AB36" s="6"/>
    </row>
    <row r="37" spans="1:28" s="1" customFormat="1" x14ac:dyDescent="0.25">
      <c r="A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Y37" s="6"/>
      <c r="Z37" s="6"/>
      <c r="AA37" s="6"/>
      <c r="AB37" s="6"/>
    </row>
    <row r="38" spans="1:28" s="1" customFormat="1" x14ac:dyDescent="0.25">
      <c r="A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Y38" s="6"/>
      <c r="Z38" s="6"/>
      <c r="AA38" s="6"/>
      <c r="AB38" s="6"/>
    </row>
    <row r="39" spans="1:28" s="1" customFormat="1" x14ac:dyDescent="0.25">
      <c r="A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Y39" s="6"/>
      <c r="Z39" s="6"/>
      <c r="AA39" s="6"/>
      <c r="AB39" s="6"/>
    </row>
    <row r="464" spans="25:25" x14ac:dyDescent="0.25">
      <c r="Y464" s="1"/>
    </row>
  </sheetData>
  <mergeCells count="2">
    <mergeCell ref="A1:U2"/>
    <mergeCell ref="A36:B36"/>
  </mergeCells>
  <pageMargins left="0.7" right="0.7" top="0.75" bottom="0.75" header="0.3" footer="0.3"/>
  <pageSetup paperSize="25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Demonstrativo</vt:lpstr>
      <vt:lpstr>Faturamentos</vt:lpstr>
      <vt:lpstr>Janeiro.2026</vt:lpstr>
      <vt:lpstr>Fevereiro 2026</vt:lpstr>
      <vt:lpstr>Março 2026</vt:lpstr>
      <vt:lpstr>Abril 2026</vt:lpstr>
      <vt:lpstr>Maio 2026</vt:lpstr>
      <vt:lpstr>Junho 2026</vt:lpstr>
      <vt:lpstr>Julho 2026</vt:lpstr>
      <vt:lpstr>Agosto 2026</vt:lpstr>
      <vt:lpstr>Setembro 2026</vt:lpstr>
      <vt:lpstr>Outubro 2026</vt:lpstr>
      <vt:lpstr>Novembro 2026</vt:lpstr>
      <vt:lpstr>Dezembro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Fabio Luis Machado da Silva</cp:lastModifiedBy>
  <cp:revision/>
  <dcterms:created xsi:type="dcterms:W3CDTF">2025-12-17T11:37:13Z</dcterms:created>
  <dcterms:modified xsi:type="dcterms:W3CDTF">2026-03-09T17:11:04Z</dcterms:modified>
  <cp:category/>
  <cp:contentStatus/>
</cp:coreProperties>
</file>